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80" yWindow="760" windowWidth="20720" windowHeight="14380" tabRatio="645" firstSheet="0" activeTab="0" autoFilterDateGrouping="1"/>
  </bookViews>
  <sheets>
    <sheet name="総合売上" sheetId="1" state="visible" r:id="rId1"/>
    <sheet name="現金売上" sheetId="2" state="visible" r:id="rId2"/>
    <sheet name="カード売上" sheetId="3" state="visible" r:id="rId3"/>
    <sheet name="振込売上" sheetId="4" state="visible" r:id="rId4"/>
    <sheet name="レジ金" sheetId="5" state="visible" r:id="rId5"/>
    <sheet name="社販リスト" sheetId="6" state="visible" r:id="rId6"/>
    <sheet name="取り置き・発送" sheetId="7" state="visible" r:id="rId7"/>
  </sheets>
  <definedNames>
    <definedName name="_xlnm._FilterDatabase" localSheetId="0" hidden="1">'総合売上'!$A$13:$V$274</definedName>
    <definedName name="_xlnm._FilterDatabase" localSheetId="1" hidden="1">'現金売上'!$A$1:$N$73</definedName>
    <definedName name="_xlnm._FilterDatabase" localSheetId="2" hidden="1">'カード売上'!$A$1:$N$41</definedName>
    <definedName name="_xlnm._FilterDatabase" localSheetId="3" hidden="1">'振込売上'!$A$1:$N$5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20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 Light"/>
      <charset val="128"/>
      <family val="3"/>
      <color theme="1"/>
      <sz val="11"/>
      <scheme val="major"/>
    </font>
    <font>
      <name val="游ゴシック Light"/>
      <charset val="128"/>
      <family val="3"/>
      <sz val="11"/>
      <scheme val="major"/>
    </font>
    <font>
      <name val="游ゴシック Light"/>
      <charset val="128"/>
      <family val="3"/>
      <color theme="0"/>
      <sz val="11"/>
      <scheme val="major"/>
    </font>
    <font>
      <name val="HGPｺﾞｼｯｸE"/>
      <charset val="128"/>
      <family val="3"/>
      <color theme="0"/>
      <sz val="11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3"/>
      <b val="1"/>
      <color rgb="FFFF0000"/>
      <sz val="14"/>
      <scheme val="minor"/>
    </font>
    <font>
      <name val="游ゴシック"/>
      <charset val="128"/>
      <family val="3"/>
      <b val="1"/>
      <color rgb="FFFF0000"/>
      <sz val="12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sz val="14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b val="1"/>
      <sz val="12"/>
      <scheme val="minor"/>
    </font>
    <font>
      <name val="游ゴシック"/>
      <charset val="128"/>
      <family val="3"/>
      <b val="1"/>
      <color theme="0"/>
      <sz val="14"/>
      <scheme val="minor"/>
    </font>
    <font>
      <name val="游ゴシック"/>
      <charset val="128"/>
      <family val="3"/>
      <b val="1"/>
      <sz val="16"/>
      <scheme val="minor"/>
    </font>
    <font>
      <name val="游ゴシック"/>
      <charset val="128"/>
      <family val="3"/>
      <b val="1"/>
      <color rgb="FF006100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b val="1"/>
      <color rgb="FF9C0006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 Light"/>
      <charset val="128"/>
      <family val="3"/>
      <color rgb="FFFF0000"/>
      <sz val="11"/>
      <scheme val="major"/>
    </font>
    <font>
      <name val="游ゴシック"/>
      <charset val="128"/>
      <family val="3"/>
      <color rgb="FFFF3300"/>
      <sz val="11"/>
      <scheme val="minor"/>
    </font>
    <font>
      <name val="游ゴシック"/>
      <charset val="128"/>
      <family val="3"/>
      <color theme="1"/>
      <sz val="11"/>
    </font>
    <font>
      <name val="游ゴシック"/>
      <charset val="128"/>
      <family val="3"/>
      <color theme="1"/>
      <sz val="11"/>
    </font>
    <font>
      <name val="游ゴシック"/>
      <color theme="1"/>
      <sz val="11"/>
    </font>
  </fonts>
  <fills count="2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"/>
        <bgColor indexed="65"/>
      </patternFill>
    </fill>
  </fills>
  <borders count="9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thick">
        <color rgb="FFFF3300"/>
      </left>
      <right/>
      <top style="thick">
        <color rgb="FFFF3300"/>
      </top>
      <bottom/>
      <diagonal/>
    </border>
    <border>
      <left/>
      <right/>
      <top style="thick">
        <color rgb="FFFF3300"/>
      </top>
      <bottom/>
      <diagonal/>
    </border>
    <border>
      <left/>
      <right style="medium">
        <color indexed="64"/>
      </right>
      <top style="thick">
        <color rgb="FFFF33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FF33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ck">
        <color rgb="FFFF3300"/>
      </top>
      <bottom/>
      <diagonal/>
    </border>
    <border>
      <left/>
      <right style="thick">
        <color rgb="FFFF33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9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0" fontId="2" fillId="2" borderId="1" applyAlignment="1">
      <alignment vertical="center"/>
    </xf>
    <xf numFmtId="0" fontId="12" fillId="12" borderId="0" applyAlignment="1">
      <alignment vertical="center"/>
    </xf>
    <xf numFmtId="0" fontId="13" fillId="13" borderId="0" applyAlignment="1">
      <alignment vertical="center"/>
    </xf>
    <xf numFmtId="0" fontId="14" fillId="14" borderId="0" applyAlignment="1">
      <alignment vertical="center"/>
    </xf>
    <xf numFmtId="9" fontId="1" fillId="0" borderId="0" applyAlignment="1">
      <alignment vertical="center"/>
    </xf>
    <xf numFmtId="0" fontId="1" fillId="25" borderId="0" applyAlignment="1">
      <alignment vertical="center"/>
    </xf>
  </cellStyleXfs>
  <cellXfs count="291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7" borderId="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8" fillId="15" borderId="7" applyAlignment="1" pivotButton="0" quotePrefix="0" xfId="0">
      <alignment horizontal="center" vertical="center"/>
    </xf>
    <xf numFmtId="0" fontId="8" fillId="15" borderId="22" applyAlignment="1" pivotButton="0" quotePrefix="0" xfId="0">
      <alignment horizontal="center" vertical="center"/>
    </xf>
    <xf numFmtId="0" fontId="8" fillId="15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5" fillId="7" borderId="7" applyAlignment="1" pivotButton="0" quotePrefix="0" xfId="0">
      <alignment horizontal="center" vertical="center"/>
    </xf>
    <xf numFmtId="0" fontId="16" fillId="15" borderId="7" applyAlignment="1" pivotButton="0" quotePrefix="0" xfId="0">
      <alignment horizontal="center" vertical="center"/>
    </xf>
    <xf numFmtId="0" fontId="16" fillId="15" borderId="2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17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15" borderId="9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20" fillId="8" borderId="11" applyAlignment="1" pivotButton="0" quotePrefix="0" xfId="0">
      <alignment horizontal="center" vertical="center"/>
    </xf>
    <xf numFmtId="0" fontId="21" fillId="8" borderId="32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5" fillId="7" borderId="21" applyAlignment="1" pivotButton="0" quotePrefix="0" xfId="0">
      <alignment horizontal="center" vertical="center"/>
    </xf>
    <xf numFmtId="0" fontId="16" fillId="15" borderId="8" applyAlignment="1" pivotButton="0" quotePrefix="0" xfId="0">
      <alignment horizontal="center" vertical="center"/>
    </xf>
    <xf numFmtId="0" fontId="16" fillId="0" borderId="16" applyAlignment="1" pivotButton="0" quotePrefix="0" xfId="0">
      <alignment horizontal="center" vertical="center"/>
    </xf>
    <xf numFmtId="0" fontId="8" fillId="15" borderId="21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16" borderId="40" applyAlignment="1" pivotButton="0" quotePrefix="0" xfId="0">
      <alignment horizontal="center" vertical="center"/>
    </xf>
    <xf numFmtId="0" fontId="20" fillId="16" borderId="6" applyAlignment="1" pivotButton="0" quotePrefix="0" xfId="0">
      <alignment horizontal="center" vertical="center"/>
    </xf>
    <xf numFmtId="0" fontId="20" fillId="16" borderId="42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5" fillId="7" borderId="4" applyAlignment="1" applyProtection="1" pivotButton="0" quotePrefix="0" xfId="0">
      <alignment horizontal="center" vertical="center"/>
      <protection locked="0" hidden="0"/>
    </xf>
    <xf numFmtId="0" fontId="5" fillId="7" borderId="5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38" fontId="3" fillId="0" borderId="34" applyAlignment="1" pivotButton="0" quotePrefix="0" xfId="1">
      <alignment horizontal="center" vertical="center"/>
    </xf>
    <xf numFmtId="38" fontId="3" fillId="0" borderId="37" applyAlignment="1" pivotButton="0" quotePrefix="0" xfId="1">
      <alignment horizontal="center" vertical="center"/>
    </xf>
    <xf numFmtId="38" fontId="3" fillId="0" borderId="4" applyAlignment="1" pivotButton="0" quotePrefix="0" xfId="1">
      <alignment horizontal="center" vertical="center"/>
    </xf>
    <xf numFmtId="0" fontId="16" fillId="0" borderId="24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5" fillId="7" borderId="3" applyAlignment="1" applyProtection="1" pivotButton="0" quotePrefix="0" xfId="0">
      <alignment horizontal="center" vertical="center"/>
      <protection locked="0" hidden="0"/>
    </xf>
    <xf numFmtId="0" fontId="23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0" borderId="18" applyAlignment="1" pivotButton="0" quotePrefix="0" xfId="0">
      <alignment horizontal="center" vertical="center"/>
    </xf>
    <xf numFmtId="56" fontId="8" fillId="0" borderId="0" applyAlignment="1" pivotButton="0" quotePrefix="0" xfId="0">
      <alignment vertical="center"/>
    </xf>
    <xf numFmtId="0" fontId="25" fillId="10" borderId="39" applyAlignment="1" pivotButton="0" quotePrefix="0" xfId="0">
      <alignment horizontal="center" vertical="center"/>
    </xf>
    <xf numFmtId="0" fontId="20" fillId="10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38" fontId="3" fillId="0" borderId="0" applyAlignment="1" pivotButton="0" quotePrefix="0" xfId="1">
      <alignment horizontal="center" vertical="center"/>
    </xf>
    <xf numFmtId="0" fontId="23" fillId="0" borderId="0" applyAlignment="1" pivotButton="0" quotePrefix="0" xfId="0">
      <alignment horizontal="center" vertical="center"/>
    </xf>
    <xf numFmtId="38" fontId="2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56" fontId="27" fillId="0" borderId="6" applyAlignment="1" pivotButton="0" quotePrefix="0" xfId="0">
      <alignment horizontal="center" vertical="center"/>
    </xf>
    <xf numFmtId="56" fontId="27" fillId="0" borderId="14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56" fontId="0" fillId="0" borderId="14" applyAlignment="1" pivotButton="0" quotePrefix="0" xfId="0">
      <alignment horizontal="center" vertical="center"/>
    </xf>
    <xf numFmtId="9" fontId="23" fillId="0" borderId="38" applyAlignment="1" pivotButton="0" quotePrefix="0" xfId="7">
      <alignment vertical="center"/>
    </xf>
    <xf numFmtId="0" fontId="9" fillId="0" borderId="55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20" fillId="18" borderId="57" applyAlignment="1" pivotButton="0" quotePrefix="0" xfId="0">
      <alignment horizontal="center" vertical="center"/>
    </xf>
    <xf numFmtId="0" fontId="20" fillId="11" borderId="11" applyAlignment="1" pivotButton="0" quotePrefix="0" xfId="0">
      <alignment horizontal="center" vertical="center"/>
    </xf>
    <xf numFmtId="0" fontId="20" fillId="11" borderId="15" applyAlignment="1" pivotButton="0" quotePrefix="0" xfId="0">
      <alignment horizontal="center" vertical="center"/>
    </xf>
    <xf numFmtId="0" fontId="20" fillId="11" borderId="58" applyAlignment="1" pivotButton="0" quotePrefix="0" xfId="0">
      <alignment horizontal="center" vertical="center"/>
    </xf>
    <xf numFmtId="9" fontId="23" fillId="0" borderId="8" applyAlignment="1" pivotButton="0" quotePrefix="0" xfId="7">
      <alignment horizontal="center" vertical="center"/>
    </xf>
    <xf numFmtId="0" fontId="20" fillId="21" borderId="59" applyAlignment="1" pivotButton="0" quotePrefix="0" xfId="0">
      <alignment horizontal="center" vertical="center"/>
    </xf>
    <xf numFmtId="0" fontId="20" fillId="18" borderId="45" applyAlignment="1" pivotButton="0" quotePrefix="0" xfId="0">
      <alignment horizontal="center" vertical="center"/>
    </xf>
    <xf numFmtId="0" fontId="28" fillId="0" borderId="14" applyAlignment="1" pivotButton="0" quotePrefix="0" xfId="0">
      <alignment horizontal="center" vertical="center"/>
    </xf>
    <xf numFmtId="0" fontId="24" fillId="10" borderId="15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9" fillId="16" borderId="2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30" fillId="23" borderId="4" applyAlignment="1" pivotButton="0" quotePrefix="0" xfId="0">
      <alignment horizontal="center" vertical="center"/>
    </xf>
    <xf numFmtId="14" fontId="19" fillId="0" borderId="10" applyAlignment="1" pivotButton="0" quotePrefix="0" xfId="0">
      <alignment horizontal="center" vertical="center"/>
    </xf>
    <xf numFmtId="38" fontId="19" fillId="0" borderId="9" applyAlignment="1" pivotButton="0" quotePrefix="0" xfId="1">
      <alignment horizontal="right" vertical="center"/>
    </xf>
    <xf numFmtId="38" fontId="0" fillId="0" borderId="9" applyAlignment="1" pivotButton="0" quotePrefix="0" xfId="1">
      <alignment horizontal="right" vertical="center"/>
    </xf>
    <xf numFmtId="0" fontId="32" fillId="12" borderId="10" applyAlignment="1" pivotButton="0" quotePrefix="0" xfId="4">
      <alignment horizontal="center" vertical="center"/>
    </xf>
    <xf numFmtId="0" fontId="35" fillId="6" borderId="0" applyAlignment="1" pivotButton="0" quotePrefix="0" xfId="5">
      <alignment horizontal="center" vertical="center"/>
    </xf>
    <xf numFmtId="0" fontId="36" fillId="6" borderId="2" applyAlignment="1" pivotButton="0" quotePrefix="0" xfId="0">
      <alignment horizontal="center" vertical="center"/>
    </xf>
    <xf numFmtId="38" fontId="33" fillId="24" borderId="27" applyAlignment="1" pivotButton="0" quotePrefix="0" xfId="1">
      <alignment horizontal="center" vertical="center"/>
    </xf>
    <xf numFmtId="38" fontId="34" fillId="13" borderId="27" applyAlignment="1" pivotButton="0" quotePrefix="0" xfId="1">
      <alignment horizontal="center" vertical="center"/>
    </xf>
    <xf numFmtId="38" fontId="0" fillId="0" borderId="0" applyAlignment="1" pivotButton="0" quotePrefix="0" xfId="1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37" fillId="0" borderId="14" applyAlignment="1" pivotButton="0" quotePrefix="0" xfId="0">
      <alignment horizontal="center" vertical="center"/>
    </xf>
    <xf numFmtId="38" fontId="5" fillId="0" borderId="9" applyAlignment="1" pivotButton="0" quotePrefix="0" xfId="1">
      <alignment horizontal="right" vertical="center"/>
    </xf>
    <xf numFmtId="38" fontId="0" fillId="0" borderId="23" applyAlignment="1" pivotButton="0" quotePrefix="0" xfId="1">
      <alignment horizontal="right" vertical="center"/>
    </xf>
    <xf numFmtId="0" fontId="5" fillId="0" borderId="1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38" fontId="33" fillId="0" borderId="9" applyAlignment="1" pivotButton="0" quotePrefix="0" xfId="1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56" fontId="0" fillId="0" borderId="53" applyAlignment="1" pivotButton="0" quotePrefix="0" xfId="0">
      <alignment horizontal="center" vertical="center"/>
    </xf>
    <xf numFmtId="56" fontId="0" fillId="0" borderId="2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38" fillId="0" borderId="14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9" fontId="23" fillId="0" borderId="0" applyAlignment="1" pivotButton="0" quotePrefix="0" xfId="7">
      <alignment vertical="center"/>
    </xf>
    <xf numFmtId="0" fontId="26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1" fillId="25" borderId="4" applyAlignment="1" applyProtection="1" pivotButton="0" quotePrefix="0" xfId="8">
      <alignment horizontal="center" vertical="center"/>
      <protection locked="0" hidden="0"/>
    </xf>
    <xf numFmtId="0" fontId="5" fillId="0" borderId="14" applyAlignment="1" pivotButton="0" quotePrefix="0" xfId="4">
      <alignment horizontal="center" vertical="center"/>
    </xf>
    <xf numFmtId="38" fontId="8" fillId="0" borderId="19" applyAlignment="1" pivotButton="0" quotePrefix="0" xfId="1">
      <alignment horizontal="center" vertical="center"/>
    </xf>
    <xf numFmtId="56" fontId="11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8" fillId="0" borderId="63" applyAlignment="1" pivotButton="0" quotePrefix="0" xfId="0">
      <alignment horizontal="center" vertical="center"/>
    </xf>
    <xf numFmtId="0" fontId="8" fillId="0" borderId="64" applyAlignment="1" pivotButton="0" quotePrefix="0" xfId="0">
      <alignment horizontal="center" vertical="center"/>
    </xf>
    <xf numFmtId="0" fontId="8" fillId="0" borderId="65" applyAlignment="1" pivotButton="0" quotePrefix="0" xfId="0">
      <alignment horizontal="center" vertical="center"/>
    </xf>
    <xf numFmtId="0" fontId="8" fillId="0" borderId="56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8" fillId="0" borderId="62" applyAlignment="1" pivotButton="0" quotePrefix="0" xfId="0">
      <alignment horizontal="center" vertical="center"/>
    </xf>
    <xf numFmtId="56" fontId="5" fillId="6" borderId="2" applyAlignment="1" pivotButton="0" quotePrefix="0" xfId="0">
      <alignment horizontal="center" vertical="center"/>
    </xf>
    <xf numFmtId="56" fontId="5" fillId="6" borderId="5" applyAlignment="1" pivotButton="0" quotePrefix="0" xfId="0">
      <alignment horizontal="center" vertical="center"/>
    </xf>
    <xf numFmtId="56" fontId="5" fillId="6" borderId="3" applyAlignment="1" pivotButton="0" quotePrefix="0" xfId="0">
      <alignment horizontal="center" vertical="center"/>
    </xf>
    <xf numFmtId="0" fontId="12" fillId="12" borderId="14" applyAlignment="1" pivotButton="0" quotePrefix="0" xfId="4">
      <alignment horizontal="center" vertical="center"/>
    </xf>
    <xf numFmtId="0" fontId="14" fillId="14" borderId="14" applyAlignment="1" pivotButton="0" quotePrefix="0" xfId="6">
      <alignment horizontal="center" vertical="center"/>
    </xf>
    <xf numFmtId="0" fontId="20" fillId="17" borderId="40" applyAlignment="1" pivotButton="0" quotePrefix="0" xfId="0">
      <alignment horizontal="center" vertical="center"/>
    </xf>
    <xf numFmtId="0" fontId="20" fillId="17" borderId="41" applyAlignment="1" pivotButton="0" quotePrefix="0" xfId="0">
      <alignment horizontal="center" vertical="center"/>
    </xf>
    <xf numFmtId="0" fontId="12" fillId="0" borderId="14" applyAlignment="1" pivotButton="0" quotePrefix="0" xfId="4">
      <alignment horizontal="center" vertical="center"/>
    </xf>
    <xf numFmtId="0" fontId="14" fillId="0" borderId="14" applyAlignment="1" pivotButton="0" quotePrefix="0" xfId="6">
      <alignment horizontal="center" vertical="center"/>
    </xf>
    <xf numFmtId="0" fontId="1" fillId="7" borderId="3" applyAlignment="1" applyProtection="1" pivotButton="0" quotePrefix="0" xfId="8">
      <alignment horizontal="center" vertical="center"/>
      <protection locked="0" hidden="0"/>
    </xf>
    <xf numFmtId="0" fontId="0" fillId="0" borderId="0" pivotButton="0" quotePrefix="0" xfId="0"/>
    <xf numFmtId="0" fontId="39" fillId="0" borderId="70" applyAlignment="1" pivotButton="0" quotePrefix="0" xfId="4">
      <alignment horizontal="center" vertical="center"/>
    </xf>
    <xf numFmtId="0" fontId="39" fillId="0" borderId="71" applyAlignment="1" pivotButton="0" quotePrefix="0" xfId="4">
      <alignment horizontal="center" vertical="center"/>
    </xf>
    <xf numFmtId="0" fontId="39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39" fillId="0" borderId="13" applyAlignment="1" pivotButton="0" quotePrefix="0" xfId="4">
      <alignment horizontal="center" vertical="center"/>
    </xf>
    <xf numFmtId="0" fontId="40" fillId="0" borderId="72" applyAlignment="1" pivotButton="0" quotePrefix="0" xfId="0">
      <alignment horizontal="center" vertical="center"/>
    </xf>
    <xf numFmtId="0" fontId="40" fillId="0" borderId="72" applyAlignment="1" pivotButton="0" quotePrefix="0" xfId="4">
      <alignment horizontal="center" vertical="center"/>
    </xf>
    <xf numFmtId="56" fontId="8" fillId="0" borderId="14" applyAlignment="1" pivotButton="0" quotePrefix="0" xfId="0">
      <alignment horizontal="center" vertical="center"/>
    </xf>
    <xf numFmtId="0" fontId="0" fillId="0" borderId="18" pivotButton="0" quotePrefix="0" xfId="0"/>
    <xf numFmtId="56" fontId="5" fillId="0" borderId="15" applyAlignment="1" pivotButton="0" quotePrefix="0" xfId="0">
      <alignment horizontal="center" vertical="center"/>
    </xf>
    <xf numFmtId="0" fontId="0" fillId="0" borderId="45" pivotButton="0" quotePrefix="0" xfId="0"/>
    <xf numFmtId="56" fontId="5" fillId="0" borderId="1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0" fillId="0" borderId="3" pivotButton="0" quotePrefix="0" xfId="0"/>
    <xf numFmtId="56" fontId="39" fillId="0" borderId="7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38" fontId="23" fillId="0" borderId="0" applyAlignment="1" pivotButton="0" quotePrefix="0" xfId="1">
      <alignment horizontal="center" vertical="center"/>
    </xf>
    <xf numFmtId="0" fontId="5" fillId="0" borderId="0" applyAlignment="1" pivotButton="0" quotePrefix="0" xfId="0">
      <alignment vertical="center"/>
    </xf>
    <xf numFmtId="38" fontId="6" fillId="0" borderId="60" applyAlignment="1" pivotButton="0" quotePrefix="0" xfId="1">
      <alignment horizontal="center" vertical="center"/>
    </xf>
    <xf numFmtId="0" fontId="0" fillId="0" borderId="36" pivotButton="0" quotePrefix="0" xfId="0"/>
    <xf numFmtId="38" fontId="6" fillId="0" borderId="66" applyAlignment="1" pivotButton="0" quotePrefix="0" xfId="1">
      <alignment horizontal="center" vertical="center"/>
    </xf>
    <xf numFmtId="0" fontId="0" fillId="0" borderId="46" pivotButton="0" quotePrefix="0" xfId="0"/>
    <xf numFmtId="0" fontId="8" fillId="0" borderId="14" applyAlignment="1" pivotButton="0" quotePrefix="0" xfId="0">
      <alignment horizontal="center" vertical="center"/>
    </xf>
    <xf numFmtId="0" fontId="31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8" borderId="4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3" fillId="0" borderId="4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38" fontId="23" fillId="0" borderId="4" applyAlignment="1" pivotButton="0" quotePrefix="0" xfId="1">
      <alignment horizontal="center" vertical="center"/>
    </xf>
    <xf numFmtId="56" fontId="39" fillId="0" borderId="70" applyAlignment="1" pivotButton="0" quotePrefix="0" xfId="0">
      <alignment horizontal="center" vertical="center"/>
    </xf>
    <xf numFmtId="0" fontId="23" fillId="9" borderId="67" applyAlignment="1" pivotButton="0" quotePrefix="0" xfId="3">
      <alignment horizontal="center" vertical="center"/>
    </xf>
    <xf numFmtId="0" fontId="0" fillId="0" borderId="49" pivotButton="0" quotePrefix="0" xfId="0"/>
    <xf numFmtId="0" fontId="20" fillId="0" borderId="0" applyAlignment="1" pivotButton="0" quotePrefix="0" xfId="0">
      <alignment horizontal="center" vertical="center"/>
    </xf>
    <xf numFmtId="56" fontId="40" fillId="0" borderId="72" applyAlignment="1" pivotButton="0" quotePrefix="0" xfId="0">
      <alignment horizontal="center" vertical="center"/>
    </xf>
    <xf numFmtId="0" fontId="40" fillId="0" borderId="72" applyAlignment="1" pivotButton="0" quotePrefix="0" xfId="0">
      <alignment horizontal="center" vertical="center"/>
    </xf>
    <xf numFmtId="0" fontId="3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23" fillId="5" borderId="6" applyAlignment="1" pivotButton="0" quotePrefix="0" xfId="0">
      <alignment horizontal="center" vertical="center"/>
    </xf>
    <xf numFmtId="0" fontId="0" fillId="0" borderId="42" pivotButton="0" quotePrefix="0" xfId="0"/>
    <xf numFmtId="0" fontId="3" fillId="0" borderId="0" applyAlignment="1" pivotButton="0" quotePrefix="0" xfId="0">
      <alignment horizontal="center" vertical="center"/>
    </xf>
    <xf numFmtId="38" fontId="7" fillId="0" borderId="47" applyAlignment="1" pivotButton="0" quotePrefix="0" xfId="1">
      <alignment horizontal="center" vertical="center"/>
    </xf>
    <xf numFmtId="0" fontId="0" fillId="0" borderId="48" pivotButton="0" quotePrefix="0" xfId="0"/>
    <xf numFmtId="0" fontId="31" fillId="0" borderId="0" applyAlignment="1" pivotButton="0" quotePrefix="0" xfId="0">
      <alignment horizontal="center" vertical="center"/>
    </xf>
    <xf numFmtId="0" fontId="23" fillId="9" borderId="4" applyAlignment="1" pivotButton="0" quotePrefix="0" xfId="3">
      <alignment horizontal="center" vertical="center"/>
    </xf>
    <xf numFmtId="56" fontId="39" fillId="0" borderId="13" applyAlignment="1" pivotButton="0" quotePrefix="0" xfId="0">
      <alignment horizontal="center" vertical="center"/>
    </xf>
    <xf numFmtId="0" fontId="23" fillId="3" borderId="4" applyAlignment="1" pivotButton="0" quotePrefix="0" xfId="2">
      <alignment horizontal="center" vertical="center"/>
    </xf>
    <xf numFmtId="0" fontId="23" fillId="4" borderId="4" applyAlignment="1" pivotButton="0" quotePrefix="0" xfId="0">
      <alignment horizontal="center" vertical="center"/>
    </xf>
    <xf numFmtId="0" fontId="5" fillId="7" borderId="4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56" fontId="8" fillId="0" borderId="15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56" fontId="8" fillId="0" borderId="20" applyAlignment="1" pivotButton="0" quotePrefix="0" xfId="0">
      <alignment horizontal="center" vertical="center"/>
    </xf>
    <xf numFmtId="0" fontId="0" fillId="0" borderId="17" pivotButton="0" quotePrefix="0" xfId="0"/>
    <xf numFmtId="0" fontId="5" fillId="7" borderId="7" applyAlignment="1" pivotButton="0" quotePrefix="0" xfId="0">
      <alignment horizontal="center" vertical="center"/>
    </xf>
    <xf numFmtId="0" fontId="0" fillId="0" borderId="21" pivotButton="0" quotePrefix="0" xfId="0"/>
    <xf numFmtId="0" fontId="5" fillId="7" borderId="59" applyAlignment="1" pivotButton="0" quotePrefix="0" xfId="0">
      <alignment horizontal="center" vertical="center"/>
    </xf>
    <xf numFmtId="56" fontId="10" fillId="6" borderId="4" applyAlignment="1" pivotButton="0" quotePrefix="0" xfId="0">
      <alignment horizontal="center" vertical="center"/>
    </xf>
    <xf numFmtId="0" fontId="0" fillId="0" borderId="5" pivotButton="0" quotePrefix="0" xfId="0"/>
    <xf numFmtId="56" fontId="16" fillId="0" borderId="1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15" fillId="7" borderId="59" applyAlignment="1" pivotButton="0" quotePrefix="0" xfId="0">
      <alignment horizontal="center" vertical="center"/>
    </xf>
    <xf numFmtId="0" fontId="15" fillId="7" borderId="7" applyAlignment="1" pivotButton="0" quotePrefix="0" xfId="0">
      <alignment horizontal="center" vertical="center"/>
    </xf>
    <xf numFmtId="56" fontId="17" fillId="6" borderId="4" applyAlignment="1" pivotButton="0" quotePrefix="0" xfId="0">
      <alignment horizontal="center" vertical="center"/>
    </xf>
    <xf numFmtId="56" fontId="16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29" pivotButton="0" quotePrefix="0" xfId="0"/>
    <xf numFmtId="0" fontId="18" fillId="6" borderId="0" applyAlignment="1" pivotButton="0" quotePrefix="0" xfId="6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9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56" fontId="0" fillId="0" borderId="15" applyAlignment="1" pivotButton="0" quotePrefix="0" xfId="0">
      <alignment horizontal="center" vertical="center"/>
    </xf>
    <xf numFmtId="0" fontId="0" fillId="19" borderId="4" applyAlignment="1" pivotButton="0" quotePrefix="0" xfId="0">
      <alignment horizontal="center" vertical="center"/>
    </xf>
    <xf numFmtId="0" fontId="0" fillId="20" borderId="6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9" applyAlignment="1" pivotButton="0" quotePrefix="0" xfId="0">
      <alignment horizontal="left" vertical="center"/>
    </xf>
    <xf numFmtId="0" fontId="11" fillId="0" borderId="9" applyAlignment="1" pivotButton="0" quotePrefix="0" xfId="0">
      <alignment horizontal="left" vertical="center"/>
    </xf>
    <xf numFmtId="0" fontId="0" fillId="0" borderId="32" applyAlignment="1" pivotButton="0" quotePrefix="0" xfId="0">
      <alignment horizontal="center" vertical="center"/>
    </xf>
    <xf numFmtId="0" fontId="0" fillId="0" borderId="52" pivotButton="0" quotePrefix="0" xfId="0"/>
    <xf numFmtId="0" fontId="0" fillId="20" borderId="54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5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0" fillId="0" borderId="51" applyAlignment="1" pivotButton="0" quotePrefix="0" xfId="0">
      <alignment horizontal="left" vertical="center"/>
    </xf>
    <xf numFmtId="0" fontId="27" fillId="0" borderId="15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74" pivotButton="0" quotePrefix="0" xfId="0"/>
    <xf numFmtId="0" fontId="39" fillId="0" borderId="73" applyAlignment="1" pivotButton="0" quotePrefix="0" xfId="0">
      <alignment horizontal="center" vertical="center"/>
    </xf>
    <xf numFmtId="0" fontId="0" fillId="0" borderId="75" pivotButton="0" quotePrefix="0" xfId="0"/>
    <xf numFmtId="0" fontId="39" fillId="0" borderId="76" applyAlignment="1" pivotButton="0" quotePrefix="0" xfId="0">
      <alignment horizontal="center" vertical="center"/>
    </xf>
    <xf numFmtId="0" fontId="0" fillId="0" borderId="78" pivotButton="0" quotePrefix="0" xfId="0"/>
    <xf numFmtId="0" fontId="39" fillId="0" borderId="77" applyAlignment="1" pivotButton="0" quotePrefix="0" xfId="0">
      <alignment horizontal="center" vertical="center"/>
    </xf>
    <xf numFmtId="0" fontId="39" fillId="0" borderId="79" applyAlignment="1" pivotButton="0" quotePrefix="0" xfId="0">
      <alignment horizontal="center" vertical="center"/>
    </xf>
    <xf numFmtId="0" fontId="0" fillId="0" borderId="86" pivotButton="0" quotePrefix="0" xfId="0"/>
    <xf numFmtId="0" fontId="0" fillId="0" borderId="88" pivotButton="0" quotePrefix="0" xfId="0"/>
    <xf numFmtId="56" fontId="39" fillId="0" borderId="72" applyAlignment="1" pivotButton="0" quotePrefix="0" xfId="0">
      <alignment horizontal="center" vertical="center"/>
    </xf>
    <xf numFmtId="0" fontId="0" fillId="0" borderId="82" pivotButton="0" quotePrefix="0" xfId="0"/>
    <xf numFmtId="56" fontId="41" fillId="0" borderId="89" applyAlignment="1" pivotButton="0" quotePrefix="0" xfId="0">
      <alignment horizontal="center" vertical="center"/>
    </xf>
    <xf numFmtId="0" fontId="41" fillId="0" borderId="89" applyAlignment="1" pivotButton="0" quotePrefix="0" xfId="0">
      <alignment horizontal="center" vertical="center"/>
    </xf>
    <xf numFmtId="0" fontId="41" fillId="0" borderId="89" applyAlignment="1" pivotButton="0" quotePrefix="0" xfId="4">
      <alignment horizontal="center" vertical="center"/>
    </xf>
  </cellXfs>
  <cellStyles count="9">
    <cellStyle name="標準" xfId="0" builtinId="0"/>
    <cellStyle name="桁区切り" xfId="1" builtinId="6"/>
    <cellStyle name="通貨" xfId="2" builtinId="7"/>
    <cellStyle name="出力" xfId="3" builtinId="21"/>
    <cellStyle name="良い" xfId="4" builtinId="26"/>
    <cellStyle name="悪い" xfId="5" builtinId="27"/>
    <cellStyle name="どちらでもない" xfId="6" builtinId="28"/>
    <cellStyle name="パーセント" xfId="7" builtinId="5"/>
    <cellStyle name="40% - アクセント 3" xfId="8" builtinId="3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2:AB274"/>
  <sheetViews>
    <sheetView tabSelected="1" zoomScale="80" zoomScaleNormal="80" workbookViewId="0">
      <pane ySplit="13" topLeftCell="A14" activePane="bottomLeft" state="frozen"/>
      <selection activeCell="J7" sqref="J7"/>
      <selection pane="bottomLeft" activeCell="A14" sqref="A14:H14"/>
    </sheetView>
  </sheetViews>
  <sheetFormatPr baseColWidth="10" defaultColWidth="8.6640625" defaultRowHeight="18"/>
  <cols>
    <col width="8.1640625" customWidth="1" style="200" min="1" max="1"/>
    <col width="12.6640625" customWidth="1" style="200" min="2" max="2"/>
    <col width="9.6640625" customWidth="1" style="200" min="3" max="3"/>
    <col width="10.6640625" customWidth="1" style="200" min="4" max="4"/>
    <col width="9.6640625" customWidth="1" style="200" min="5" max="5"/>
    <col width="11.6640625" customWidth="1" style="200" min="6" max="6"/>
    <col width="10.6640625" customWidth="1" style="200" min="7" max="7"/>
    <col width="11.6640625" customWidth="1" style="200" min="8" max="10"/>
    <col width="10.1640625" customWidth="1" style="200" min="11" max="11"/>
    <col width="11.6640625" customWidth="1" style="200" min="12" max="12"/>
    <col width="11.1640625" customWidth="1" style="200" min="13" max="13"/>
    <col width="10.6640625" customWidth="1" style="200" min="14" max="14"/>
    <col width="10.5" customWidth="1" style="200" min="15" max="15"/>
    <col width="10.1640625" customWidth="1" style="200" min="16" max="17"/>
    <col width="11.6640625" customWidth="1" style="200" min="18" max="18"/>
    <col width="10.1640625" customWidth="1" style="200" min="19" max="19"/>
    <col width="10.6640625" customWidth="1" style="200" min="20" max="21"/>
    <col width="12" customWidth="1" style="200" min="22" max="22"/>
    <col width="12.1640625" customWidth="1" style="200" min="23" max="24"/>
    <col width="11.1640625" customWidth="1" style="200" min="25" max="25"/>
    <col width="8.6640625" customWidth="1" style="200" min="26" max="27"/>
    <col width="8.6640625" customWidth="1" style="200" min="28" max="16384"/>
  </cols>
  <sheetData>
    <row r="1" ht="19.5" customHeight="1" s="180" thickBot="1"/>
    <row r="2" ht="30.5" customHeight="1" s="180" thickBot="1">
      <c r="A2" s="230" t="inlineStr">
        <is>
          <t>総売上高</t>
        </is>
      </c>
      <c r="B2" s="194" t="n"/>
      <c r="C2" s="230" t="inlineStr">
        <is>
          <t>理論単価</t>
        </is>
      </c>
      <c r="D2" s="194" t="n"/>
      <c r="E2" s="231" t="inlineStr">
        <is>
          <t>総売上目標</t>
        </is>
      </c>
      <c r="F2" s="194" t="n"/>
      <c r="G2" s="222" t="inlineStr">
        <is>
          <t>目標まで</t>
        </is>
      </c>
      <c r="H2" s="223" t="n"/>
      <c r="I2" s="175" t="inlineStr">
        <is>
          <t>スタッフ</t>
        </is>
      </c>
      <c r="J2" s="176" t="n"/>
      <c r="K2" s="208" t="inlineStr">
        <is>
          <t>売上</t>
        </is>
      </c>
      <c r="L2" s="194" t="n"/>
      <c r="M2" s="49" t="inlineStr">
        <is>
          <t>人数</t>
        </is>
      </c>
      <c r="N2" s="50" t="inlineStr">
        <is>
          <t>新規</t>
        </is>
      </c>
      <c r="O2" s="50" t="inlineStr">
        <is>
          <t>獲得</t>
        </is>
      </c>
      <c r="P2" s="50" t="inlineStr">
        <is>
          <t>体験</t>
        </is>
      </c>
      <c r="Q2" s="50" t="inlineStr">
        <is>
          <t>継続</t>
        </is>
      </c>
      <c r="R2" s="50" t="inlineStr">
        <is>
          <t>終了</t>
        </is>
      </c>
      <c r="S2" s="50" t="inlineStr">
        <is>
          <t>一括</t>
        </is>
      </c>
      <c r="T2" s="51" t="inlineStr">
        <is>
          <t>指名</t>
        </is>
      </c>
      <c r="U2" s="50" t="inlineStr">
        <is>
          <t>メンズ</t>
        </is>
      </c>
      <c r="V2" s="50" t="inlineStr">
        <is>
          <t>オプション</t>
        </is>
      </c>
      <c r="W2" s="50" t="inlineStr">
        <is>
          <t>社販</t>
        </is>
      </c>
      <c r="X2" s="193" t="n"/>
      <c r="Y2" s="194" t="n"/>
    </row>
    <row r="3" ht="31.25" customHeight="1" s="180" thickBot="1" thickTop="1">
      <c r="A3" s="201">
        <f>SUM(K14:K274)</f>
        <v/>
      </c>
      <c r="B3" s="202" t="n"/>
      <c r="C3" s="201">
        <f>SUM(F14:F274)</f>
        <v/>
      </c>
      <c r="D3" s="202" t="n"/>
      <c r="E3" s="203" t="n">
        <v>1000000</v>
      </c>
      <c r="F3" s="204" t="n"/>
      <c r="G3" s="225">
        <f>A3-E3</f>
        <v/>
      </c>
      <c r="H3" s="226" t="n"/>
      <c r="I3" s="211" t="inlineStr">
        <is>
          <t>佐野</t>
        </is>
      </c>
      <c r="J3" s="194" t="n"/>
      <c r="K3" s="213">
        <f>SUMIFS(K13:K273,E13:E273,"佐野")</f>
        <v/>
      </c>
      <c r="L3" s="194" t="n"/>
      <c r="M3" s="72">
        <f>COUNTIF(E13:E273,"佐野")</f>
        <v/>
      </c>
      <c r="N3" s="211">
        <f>COUNTIFS(E13:E273,"佐野",P13:P273,"1")</f>
        <v/>
      </c>
      <c r="O3" s="211">
        <f>COUNTIFS(E14:E274,"佐野",H14:H274,"新規獲得")</f>
        <v/>
      </c>
      <c r="P3" s="211">
        <f>COUNTIFS(E13:E273,"佐野",H13:H273,"体験")</f>
        <v/>
      </c>
      <c r="Q3" s="211">
        <f>COUNTIFS(E13:E273,"佐野",H13:H273,"継続")</f>
        <v/>
      </c>
      <c r="R3" s="211">
        <f>COUNTIFS(E13:E273,"佐野",H13:H273,"終了")</f>
        <v/>
      </c>
      <c r="S3" s="211">
        <f>COUNTIFS(E13:E273,"佐野",Q13:Q273,"1")</f>
        <v/>
      </c>
      <c r="T3" s="211">
        <f>COUNTIFS(E13:E273,"佐野",S13:S273,"1")</f>
        <v/>
      </c>
      <c r="U3" s="211">
        <f>COUNTIFS(E13:E273,"佐野",R13:R273,"1")</f>
        <v/>
      </c>
      <c r="V3" s="211" t="n"/>
      <c r="W3" s="211">
        <f>COUNTIFS(E13:E273,"佐野",H13:H273,"社販")</f>
        <v/>
      </c>
      <c r="X3" s="207">
        <f>COUNTIFS(E14:E275,"佐野",T14:T275,1)</f>
        <v/>
      </c>
      <c r="Y3" s="194" t="n"/>
    </row>
    <row r="4" ht="31.25" customHeight="1" s="180" thickBot="1" thickTop="1">
      <c r="A4" s="40" t="inlineStr">
        <is>
          <t>現金</t>
        </is>
      </c>
      <c r="B4" s="69">
        <f>COUNTIF(L14:L275,"現金")</f>
        <v/>
      </c>
      <c r="C4" s="228" t="inlineStr">
        <is>
          <t>予約経緯</t>
        </is>
      </c>
      <c r="D4" s="194" t="n"/>
      <c r="E4" s="228" t="inlineStr">
        <is>
          <t>予約内容</t>
        </is>
      </c>
      <c r="F4" s="194" t="n"/>
      <c r="G4" s="215" t="inlineStr">
        <is>
          <t>イベント</t>
        </is>
      </c>
      <c r="H4" s="216" t="n"/>
      <c r="I4" s="211" t="inlineStr">
        <is>
          <t>星野</t>
        </is>
      </c>
      <c r="J4" s="194" t="n"/>
      <c r="K4" s="213">
        <f>SUMIFS(K13:K273,E13:E273,"星野")</f>
        <v/>
      </c>
      <c r="L4" s="194" t="n"/>
      <c r="M4" s="72">
        <f>COUNTIF(E13:E273,"星野")</f>
        <v/>
      </c>
      <c r="N4" s="211">
        <f>COUNTIFS(E13:E273,"星野",P13:P273,"1")</f>
        <v/>
      </c>
      <c r="O4" s="211">
        <f>COUNTIFS(E13:E273,"星野",H13:H273,"新規獲得")</f>
        <v/>
      </c>
      <c r="P4" s="211">
        <f>COUNTIFS(E13:E273,"星野",H13:H273,"体験")</f>
        <v/>
      </c>
      <c r="Q4" s="211">
        <f>COUNTIFS(E13:E273,"星野",H13:H273,"継続")</f>
        <v/>
      </c>
      <c r="R4" s="211">
        <f>COUNTIFS(E13:E273,"星野",H13:H273,"終了")</f>
        <v/>
      </c>
      <c r="S4" s="211">
        <f>COUNTIFS(E13:E273,"星野",Q13:Q273,"1")</f>
        <v/>
      </c>
      <c r="T4" s="211">
        <f>COUNTIFS(E13:E273,"星野",S13:S273,"1")</f>
        <v/>
      </c>
      <c r="U4" s="211">
        <f>COUNTIFS(E13:E273,"星野",R13:R273,"1")</f>
        <v/>
      </c>
      <c r="V4" s="211" t="n"/>
      <c r="W4" s="211">
        <f>COUNTIFS(E13:E273,"星野",H13:H273,"社販")</f>
        <v/>
      </c>
      <c r="X4" s="207">
        <f>COUNTIFS(E14:E276,"星野",T14:T276,1)</f>
        <v/>
      </c>
      <c r="Y4" s="194" t="n"/>
    </row>
    <row r="5" ht="29" customHeight="1" s="180" thickBot="1">
      <c r="A5" s="41" t="inlineStr">
        <is>
          <t>売上</t>
        </is>
      </c>
      <c r="B5" s="64">
        <f>SUM(現金売上!H2:N113)</f>
        <v/>
      </c>
      <c r="C5" s="77" t="inlineStr">
        <is>
          <t>HP-B</t>
        </is>
      </c>
      <c r="D5" s="96">
        <f>COUNTIF(G14:G274,"HP-B")</f>
        <v/>
      </c>
      <c r="E5" s="98" t="inlineStr">
        <is>
          <t>コルギ</t>
        </is>
      </c>
      <c r="F5" s="60">
        <f>COUNTIF(N14:N274,"コルギ")</f>
        <v/>
      </c>
      <c r="G5" s="97" t="n"/>
      <c r="H5" s="60">
        <f>COUNTIF(T14:T274,"1")</f>
        <v/>
      </c>
      <c r="I5" s="211" t="n"/>
      <c r="J5" s="194" t="n"/>
      <c r="K5" s="213" t="n"/>
      <c r="L5" s="194" t="n"/>
      <c r="M5" s="72" t="n">
        <v>0</v>
      </c>
      <c r="N5" s="211">
        <f>COUNTIFS(E13:E273,"",P13:P273,"1")</f>
        <v/>
      </c>
      <c r="O5" s="211">
        <f>COUNTIFS(E13:E273,"",H13:H273,"新規獲得")</f>
        <v/>
      </c>
      <c r="P5" s="211">
        <f>COUNTIFS(E13:E273,"",H13:H273,"体験")</f>
        <v/>
      </c>
      <c r="Q5" s="211">
        <f>COUNTIFS(E13:E273,"",H13:H273,"継続")</f>
        <v/>
      </c>
      <c r="R5" s="211">
        <f>COUNTIFS(E13:E273,"",H13:H273,"終了")</f>
        <v/>
      </c>
      <c r="S5" s="211">
        <f>COUNTIFS(E13:E273,"",Q13:Q273,"1")</f>
        <v/>
      </c>
      <c r="T5" s="211" t="n">
        <v>0</v>
      </c>
      <c r="U5" s="211" t="n">
        <v>0</v>
      </c>
      <c r="V5" s="211" t="n"/>
      <c r="W5" s="211">
        <f>COUNTIFS(E13:E273,"星野",H13:H273,"社販")</f>
        <v/>
      </c>
      <c r="X5" s="207">
        <f>COUNTIFS(E14:E277,"",T14:T277,1)</f>
        <v/>
      </c>
      <c r="Y5" s="194" t="n"/>
    </row>
    <row r="6" ht="29" customHeight="1" s="180" thickBot="1">
      <c r="A6" s="40" t="inlineStr">
        <is>
          <t>カード</t>
        </is>
      </c>
      <c r="B6" s="65">
        <f>COUNTIF(L14:L274,"カード")</f>
        <v/>
      </c>
      <c r="C6" s="105" t="inlineStr">
        <is>
          <t>ミニモ</t>
        </is>
      </c>
      <c r="D6" s="59">
        <f>COUNTIF(G14:G274,"ミニモ")</f>
        <v/>
      </c>
      <c r="E6" s="99" t="inlineStr">
        <is>
          <t>ハーブ</t>
        </is>
      </c>
      <c r="F6" s="42">
        <f>COUNTIF(N14:N274,"ハーブ")</f>
        <v/>
      </c>
      <c r="G6" s="103" t="n"/>
      <c r="H6" s="42">
        <f>COUNTIF(T14:T274,"2")</f>
        <v/>
      </c>
      <c r="I6" s="211" t="n"/>
      <c r="J6" s="194" t="n"/>
      <c r="K6" s="213" t="n"/>
      <c r="L6" s="194" t="n"/>
      <c r="M6" s="72">
        <f>COUNTIF(E13:E273,"古賀")</f>
        <v/>
      </c>
      <c r="N6" s="211">
        <f>COUNTIFS(E13:E273,"古賀",P13:P273,"1")</f>
        <v/>
      </c>
      <c r="O6" s="211">
        <f>COUNTIFS(E13:E273,"古賀",H13:H273,"新規獲得")</f>
        <v/>
      </c>
      <c r="P6" s="211">
        <f>COUNTIFS(E13:E273,"古賀",H13:H273,"体験")</f>
        <v/>
      </c>
      <c r="Q6" s="211">
        <f>COUNTIFS(E13:E273,"古賀",H13:H273,"継続")</f>
        <v/>
      </c>
      <c r="R6" s="211">
        <f>COUNTIFS(E13:E273,"古賀",H13:H273,"終了")</f>
        <v/>
      </c>
      <c r="S6" s="211">
        <f>COUNTIFS(E13:E273,"古賀",Q13:Q273,"1")</f>
        <v/>
      </c>
      <c r="T6" s="211">
        <f>COUNTIFS(E13:E273,"古賀",S13:S273,"1")</f>
        <v/>
      </c>
      <c r="U6" s="211">
        <f>COUNTIFS(E13:E273,"古賀",R13:R273,"1")</f>
        <v/>
      </c>
      <c r="V6" s="211" t="n"/>
      <c r="W6" s="211">
        <f>COUNTIFS(E13:E273,"古賀",H13:H273,"社販")</f>
        <v/>
      </c>
      <c r="X6" s="207">
        <f>COUNTIFS(E14:E278,"古賀",T14:T278,1)</f>
        <v/>
      </c>
      <c r="Y6" s="194" t="n"/>
    </row>
    <row r="7" ht="28.25" customHeight="1" s="180" thickBot="1">
      <c r="A7" s="41" t="inlineStr">
        <is>
          <t>売上</t>
        </is>
      </c>
      <c r="B7" s="64">
        <f>SUM(カード売上!H2:N64)</f>
        <v/>
      </c>
      <c r="C7" s="70" t="inlineStr">
        <is>
          <t>IＧ</t>
        </is>
      </c>
      <c r="D7" s="59">
        <f>COUNTIF(G14:G274,"インスタ")</f>
        <v/>
      </c>
      <c r="E7" s="99" t="inlineStr">
        <is>
          <t>当日</t>
        </is>
      </c>
      <c r="F7" s="42">
        <f>COUNTIF(N14:N274,"当日")</f>
        <v/>
      </c>
      <c r="G7" s="103" t="n"/>
      <c r="H7" s="39">
        <f>COUNTIF(T14:T274,"3")</f>
        <v/>
      </c>
      <c r="I7" s="211" t="n"/>
      <c r="J7" s="194" t="n"/>
      <c r="K7" s="213" t="n"/>
      <c r="L7" s="194" t="n"/>
      <c r="M7" s="72">
        <f>COUNTIF(E14:E274,"中村")</f>
        <v/>
      </c>
      <c r="N7" s="211">
        <f>COUNTIFS(E14:E274,"中村",P14:P274,"1")</f>
        <v/>
      </c>
      <c r="O7" s="211">
        <f>COUNTIFS(E14:E274,"中村",H14:H274,"新規獲得")</f>
        <v/>
      </c>
      <c r="P7" s="211">
        <f>COUNTIFS(E14:E274,"中村",H14:H274,"体験")</f>
        <v/>
      </c>
      <c r="Q7" s="211">
        <f>COUNTIFS(E14:E274,"中村",H14:H274,"継続")</f>
        <v/>
      </c>
      <c r="R7" s="211">
        <f>COUNTIFS(E14:E274,"中村",H14:H274,"終了")</f>
        <v/>
      </c>
      <c r="S7" s="211">
        <f>COUNTIFS(E14:E274,"中村",Q14:Q274,"1")</f>
        <v/>
      </c>
      <c r="T7" s="211">
        <f>COUNTIFS(E14:E274,"中村",S14:S274,"1")</f>
        <v/>
      </c>
      <c r="U7" s="211">
        <f>COUNTIFS(E14:E274,"中村",R14:R274,"1")</f>
        <v/>
      </c>
      <c r="V7" s="211" t="n"/>
      <c r="W7" s="211" t="n">
        <v>0</v>
      </c>
      <c r="X7" s="207" t="n">
        <v>0</v>
      </c>
      <c r="Y7" s="194" t="n"/>
    </row>
    <row r="8" ht="28.25" customHeight="1" s="180" thickBot="1">
      <c r="A8" s="40" t="inlineStr">
        <is>
          <t>振込</t>
        </is>
      </c>
      <c r="B8" s="65">
        <f>COUNTIF(L14:L275,"振込")</f>
        <v/>
      </c>
      <c r="C8" s="70" t="inlineStr">
        <is>
          <t>TEL</t>
        </is>
      </c>
      <c r="D8" s="59">
        <f>COUNTIF(G14:G274,"TEL")</f>
        <v/>
      </c>
      <c r="E8" s="100" t="inlineStr">
        <is>
          <t>再来</t>
        </is>
      </c>
      <c r="F8" s="95">
        <f>COUNTIF(N14:N274,"再来")</f>
        <v/>
      </c>
      <c r="I8" s="211" t="inlineStr">
        <is>
          <t>合計</t>
        </is>
      </c>
      <c r="J8" s="194" t="n"/>
      <c r="K8" s="213">
        <f>SUM(K1:L7)</f>
        <v/>
      </c>
      <c r="L8" s="194" t="n"/>
      <c r="M8" s="72">
        <f>SUM(M1:M7)</f>
        <v/>
      </c>
      <c r="N8" s="211">
        <f>SUM(N1:N7)</f>
        <v/>
      </c>
      <c r="O8" s="211">
        <f>SUM(O1:O7)</f>
        <v/>
      </c>
      <c r="P8" s="211">
        <f>SUM(P1:P7)</f>
        <v/>
      </c>
      <c r="Q8" s="211">
        <f>SUM(Q1:Q7)</f>
        <v/>
      </c>
      <c r="R8" s="211">
        <f>SUM(R1:R7)</f>
        <v/>
      </c>
      <c r="S8" s="211">
        <f>SUM(S1:S7)</f>
        <v/>
      </c>
      <c r="T8" s="211">
        <f>SUM(T1:T7)</f>
        <v/>
      </c>
      <c r="U8" s="211">
        <f>SUM(U1:U7)</f>
        <v/>
      </c>
      <c r="V8" s="211">
        <f>SUM(V1:V7)</f>
        <v/>
      </c>
      <c r="W8" s="211">
        <f>SUM(W1:W7)</f>
        <v/>
      </c>
      <c r="X8" s="206">
        <f>SUM(X1:Y7)</f>
        <v/>
      </c>
      <c r="Y8" s="194" t="n"/>
    </row>
    <row r="9" ht="29" customHeight="1" s="180" thickBot="1">
      <c r="A9" s="41" t="inlineStr">
        <is>
          <t>売上</t>
        </is>
      </c>
      <c r="B9" s="64">
        <f>SUM(振込売上!G29)</f>
        <v/>
      </c>
      <c r="C9" s="76" t="inlineStr">
        <is>
          <t>紹介</t>
        </is>
      </c>
      <c r="D9" s="94">
        <f>COUNTIF(G14:G274,"紹介")</f>
        <v/>
      </c>
      <c r="E9" s="102" t="inlineStr">
        <is>
          <t>獲得率</t>
        </is>
      </c>
      <c r="F9" s="101">
        <f>O8/N8</f>
        <v/>
      </c>
      <c r="K9" s="224" t="n"/>
      <c r="M9" s="199" t="n"/>
      <c r="O9" s="212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217" t="n"/>
    </row>
    <row r="10" ht="27.5" customHeight="1" s="180" thickBot="1">
      <c r="A10" s="107" t="inlineStr">
        <is>
          <t>HP-B</t>
        </is>
      </c>
      <c r="B10" s="66">
        <f>SUM(M14:M274)</f>
        <v/>
      </c>
      <c r="C10" s="109" t="inlineStr">
        <is>
          <t>合計</t>
        </is>
      </c>
      <c r="D10" s="207">
        <f>SUM(D5:D9)</f>
        <v/>
      </c>
      <c r="K10" s="212" t="n"/>
      <c r="M10" s="199" t="n"/>
      <c r="O10" s="212" t="n"/>
      <c r="P10" s="212" t="n"/>
      <c r="Q10" s="212" t="n"/>
      <c r="R10" s="212" t="n"/>
      <c r="S10" s="212" t="n"/>
      <c r="T10" s="212" t="n"/>
      <c r="U10" s="212" t="n"/>
      <c r="V10" s="212" t="n"/>
      <c r="W10" s="212" t="n"/>
      <c r="X10" s="212" t="n"/>
      <c r="Y10" s="212" t="n"/>
      <c r="Z10" s="227" t="n"/>
    </row>
    <row r="11" ht="11.25" customHeight="1" s="180">
      <c r="A11" s="78" t="n"/>
      <c r="B11" s="79" t="n"/>
      <c r="K11" s="212" t="n"/>
      <c r="L11" s="212" t="n"/>
      <c r="M11" s="199" t="n"/>
      <c r="N11" s="199" t="n"/>
      <c r="O11" s="212" t="n"/>
      <c r="Q11" s="147" t="n"/>
      <c r="R11" s="212" t="n"/>
      <c r="S11" s="212" t="n"/>
      <c r="T11" s="212" t="n"/>
    </row>
    <row r="12" ht="12" customHeight="1" s="180" thickBot="1">
      <c r="P12" s="93" t="n"/>
      <c r="Q12" s="93" t="n"/>
    </row>
    <row r="13" ht="19.5" customFormat="1" customHeight="1" s="63" thickBot="1">
      <c r="A13" s="232" t="inlineStr">
        <is>
          <t>日付</t>
        </is>
      </c>
      <c r="B13" s="233" t="n"/>
      <c r="C13" s="232" t="inlineStr">
        <is>
          <t>お客様</t>
        </is>
      </c>
      <c r="D13" s="233" t="n"/>
      <c r="E13" s="232" t="inlineStr">
        <is>
          <t>担当</t>
        </is>
      </c>
      <c r="F13" s="232" t="inlineStr">
        <is>
          <t>理論単価</t>
        </is>
      </c>
      <c r="G13" s="62" t="inlineStr">
        <is>
          <t>来店経緯</t>
        </is>
      </c>
      <c r="H13" s="159" t="inlineStr">
        <is>
          <t>結果</t>
        </is>
      </c>
      <c r="I13" s="179" t="inlineStr">
        <is>
          <t>残り回数</t>
        </is>
      </c>
      <c r="J13" s="179" t="inlineStr">
        <is>
          <t>残金額</t>
        </is>
      </c>
      <c r="K13" s="71" t="inlineStr">
        <is>
          <t>総合売上</t>
        </is>
      </c>
      <c r="L13" s="232" t="inlineStr">
        <is>
          <t>支払い</t>
        </is>
      </c>
      <c r="M13" s="232" t="inlineStr">
        <is>
          <t>HP-Bポイント</t>
        </is>
      </c>
      <c r="N13" s="71" t="inlineStr">
        <is>
          <t>内容</t>
        </is>
      </c>
      <c r="O13" s="71" t="inlineStr">
        <is>
          <t>OP</t>
        </is>
      </c>
      <c r="P13" s="232" t="inlineStr">
        <is>
          <t>新規</t>
        </is>
      </c>
      <c r="Q13" s="232" t="inlineStr">
        <is>
          <t>一括</t>
        </is>
      </c>
      <c r="R13" s="232" t="inlineStr">
        <is>
          <t>メンズ</t>
        </is>
      </c>
      <c r="S13" s="232" t="inlineStr">
        <is>
          <t>指名</t>
        </is>
      </c>
      <c r="T13" s="232" t="inlineStr">
        <is>
          <t>イベント</t>
        </is>
      </c>
      <c r="Z13" s="209" t="n"/>
      <c r="AA13" s="210" t="n"/>
    </row>
    <row r="14" ht="18.5" customHeight="1" s="180">
      <c r="A14" s="229" t="inlineStr">
        <is>
          <t>10月27日</t>
        </is>
      </c>
      <c r="B14" s="221" t="n"/>
      <c r="C14" s="220" t="inlineStr">
        <is>
          <t>吉羽 顕功</t>
        </is>
      </c>
      <c r="D14" s="221" t="n"/>
      <c r="E14" s="220" t="inlineStr">
        <is>
          <t>佐野 智里</t>
        </is>
      </c>
      <c r="F14" s="184" t="n"/>
      <c r="G14" s="184" t="n"/>
      <c r="H14" s="185" t="n">
        <v>2</v>
      </c>
      <c r="I14" s="160" t="n"/>
      <c r="J14" s="160" t="n"/>
      <c r="K14" s="205" t="n"/>
      <c r="L14" s="205" t="n"/>
      <c r="M14" s="142" t="n"/>
      <c r="N14" s="205" t="n"/>
      <c r="O14" s="205" t="n"/>
      <c r="P14" s="205" t="n"/>
      <c r="Q14" s="205" t="n"/>
      <c r="R14" s="205" t="n"/>
      <c r="S14" s="205" t="n"/>
      <c r="T14" s="5" t="n"/>
      <c r="U14" s="2" t="n"/>
      <c r="V14" s="2" t="n"/>
      <c r="W14" s="2" t="n"/>
    </row>
    <row r="15" ht="18.5" customHeight="1" s="180">
      <c r="A15" s="195" t="inlineStr">
        <is>
          <t>10月27日</t>
        </is>
      </c>
      <c r="B15" s="284" t="n"/>
      <c r="C15" s="278" t="inlineStr">
        <is>
          <t>高橋 健太</t>
        </is>
      </c>
      <c r="D15" s="285" t="n"/>
      <c r="E15" s="282" t="inlineStr">
        <is>
          <t>佐野 智里</t>
        </is>
      </c>
      <c r="F15" s="5" t="n"/>
      <c r="G15" s="5" t="n"/>
      <c r="H15" s="182" t="n">
        <v>17</v>
      </c>
      <c r="I15" s="177" t="n"/>
      <c r="J15" s="177" t="n"/>
      <c r="K15" s="205" t="n"/>
      <c r="L15" s="205" t="n"/>
      <c r="M15" s="142" t="n"/>
      <c r="N15" s="205" t="n"/>
      <c r="O15" s="205" t="n"/>
      <c r="P15" s="205" t="n"/>
      <c r="Q15" s="205" t="n"/>
      <c r="R15" s="205" t="n"/>
      <c r="S15" s="205" t="n"/>
      <c r="T15" s="5" t="n"/>
      <c r="U15" s="2" t="n"/>
      <c r="V15" s="2" t="n"/>
      <c r="W15" s="2" t="n"/>
    </row>
    <row r="16">
      <c r="A16" s="286" t="inlineStr">
        <is>
          <t>10月27日</t>
        </is>
      </c>
      <c r="B16" s="287" t="n"/>
      <c r="C16" s="280" t="inlineStr">
        <is>
          <t>佐藤 美咲</t>
        </is>
      </c>
      <c r="D16" s="287" t="n"/>
      <c r="E16" s="283" t="inlineStr">
        <is>
          <t>佐野 智里</t>
        </is>
      </c>
      <c r="F16" s="205" t="n"/>
      <c r="G16" s="205" t="n"/>
      <c r="H16" s="181" t="n">
        <v>14</v>
      </c>
      <c r="I16" s="177" t="n"/>
      <c r="J16" s="177" t="n"/>
      <c r="K16" s="205" t="n"/>
      <c r="L16" s="205" t="n"/>
      <c r="M16" s="142" t="n"/>
      <c r="N16" s="205" t="n"/>
      <c r="O16" s="205" t="n"/>
      <c r="P16" s="205" t="n"/>
      <c r="Q16" s="205" t="n"/>
      <c r="R16" s="205" t="n"/>
      <c r="S16" s="205" t="n"/>
      <c r="T16" s="5" t="n"/>
      <c r="U16" s="2" t="n"/>
      <c r="V16" s="2" t="n"/>
      <c r="W16" s="2" t="n"/>
    </row>
    <row r="17" ht="18.5" customHeight="1" s="180">
      <c r="A17" s="218" t="inlineStr">
        <is>
          <t>10月27日</t>
        </is>
      </c>
      <c r="B17" s="287" t="n"/>
      <c r="C17" s="219" t="inlineStr">
        <is>
          <t>中村 優子</t>
        </is>
      </c>
      <c r="D17" s="287" t="n"/>
      <c r="E17" s="219" t="inlineStr">
        <is>
          <t>佐野 智里</t>
        </is>
      </c>
      <c r="F17" s="205" t="n"/>
      <c r="G17" s="205" t="n"/>
      <c r="H17" s="187" t="n">
        <v>24</v>
      </c>
      <c r="I17" s="160" t="n"/>
      <c r="J17" s="160" t="n"/>
      <c r="K17" s="205" t="n"/>
      <c r="L17" s="205" t="n"/>
      <c r="M17" s="142" t="n"/>
      <c r="N17" s="205" t="n"/>
      <c r="O17" s="205" t="n"/>
      <c r="P17" s="205" t="n"/>
      <c r="Q17" s="205" t="n"/>
      <c r="R17" s="205" t="n"/>
      <c r="S17" s="205" t="n"/>
      <c r="T17" s="5" t="n"/>
      <c r="U17" s="2" t="n"/>
      <c r="V17" s="2" t="n"/>
      <c r="W17" s="2" t="n"/>
    </row>
    <row r="18" ht="18.5" customHeight="1" s="180">
      <c r="A18" s="288" t="inlineStr">
        <is>
          <t>10月28日</t>
        </is>
      </c>
      <c r="B18" s="189" t="n"/>
      <c r="C18" s="289" t="inlineStr">
        <is>
          <t>田中 正子</t>
        </is>
      </c>
      <c r="D18" s="189" t="n"/>
      <c r="E18" s="289" t="inlineStr">
        <is>
          <t>佐野 智里</t>
        </is>
      </c>
      <c r="F18" s="205" t="n"/>
      <c r="G18" s="205" t="n"/>
      <c r="H18" s="290" t="inlineStr">
        <is>
          <t>3回目</t>
        </is>
      </c>
      <c r="I18" s="160" t="n"/>
      <c r="J18" s="160" t="n"/>
      <c r="K18" s="205" t="n"/>
      <c r="L18" s="205" t="n"/>
      <c r="M18" s="142" t="n"/>
      <c r="N18" s="205" t="n"/>
      <c r="O18" s="205" t="n"/>
      <c r="P18" s="205" t="n"/>
      <c r="Q18" s="205" t="n"/>
      <c r="R18" s="205" t="n"/>
      <c r="S18" s="205" t="n"/>
      <c r="T18" s="5" t="n"/>
      <c r="U18" s="2" t="n"/>
      <c r="V18" s="2" t="n"/>
      <c r="W18" s="2" t="n"/>
    </row>
    <row r="19">
      <c r="A19" s="188" t="n"/>
      <c r="B19" s="189" t="n"/>
      <c r="C19" s="197" t="n"/>
      <c r="D19" s="189" t="n"/>
      <c r="E19" s="5" t="n"/>
      <c r="F19" s="205" t="n"/>
      <c r="G19" s="205" t="n"/>
      <c r="H19" s="160" t="n"/>
      <c r="I19" s="160" t="n"/>
      <c r="J19" s="160" t="n"/>
      <c r="K19" s="205" t="n"/>
      <c r="L19" s="205" t="n"/>
      <c r="M19" s="142" t="n"/>
      <c r="N19" s="205" t="n"/>
      <c r="O19" s="205" t="n"/>
      <c r="P19" s="205" t="n"/>
      <c r="Q19" s="205" t="n"/>
      <c r="R19" s="205" t="n"/>
      <c r="S19" s="205" t="n"/>
      <c r="T19" s="5" t="n"/>
      <c r="U19" s="2" t="n"/>
      <c r="V19" s="2" t="n"/>
      <c r="W19" s="2" t="n"/>
    </row>
    <row r="20" ht="18.5" customHeight="1" s="180">
      <c r="A20" s="188" t="n"/>
      <c r="B20" s="189" t="n"/>
      <c r="C20" s="205" t="n"/>
      <c r="D20" s="189" t="n"/>
      <c r="E20" s="5" t="n"/>
      <c r="F20" s="205" t="n"/>
      <c r="G20" s="205" t="n"/>
      <c r="H20" s="160" t="n"/>
      <c r="I20" s="160" t="n"/>
      <c r="J20" s="160" t="n"/>
      <c r="K20" s="205" t="n"/>
      <c r="L20" s="205" t="n"/>
      <c r="M20" s="142" t="n"/>
      <c r="N20" s="205" t="n"/>
      <c r="O20" s="205" t="n"/>
      <c r="P20" s="205" t="n"/>
      <c r="Q20" s="205" t="n"/>
      <c r="R20" s="205" t="n"/>
      <c r="S20" s="205" t="n"/>
      <c r="T20" s="5" t="n"/>
      <c r="U20" s="2" t="n"/>
      <c r="V20" s="2" t="n"/>
      <c r="W20" s="2" t="n"/>
    </row>
    <row r="21" ht="18.5" customHeight="1" s="180">
      <c r="A21" s="188" t="n"/>
      <c r="B21" s="189" t="n"/>
      <c r="C21" s="205" t="n"/>
      <c r="D21" s="189" t="n"/>
      <c r="E21" s="5" t="n"/>
      <c r="F21" s="205" t="n"/>
      <c r="G21" s="205" t="n"/>
      <c r="H21" s="160" t="n"/>
      <c r="I21" s="160" t="n"/>
      <c r="J21" s="160" t="n"/>
      <c r="K21" s="205" t="n"/>
      <c r="L21" s="205" t="n"/>
      <c r="M21" s="142" t="n"/>
      <c r="N21" s="205" t="n"/>
      <c r="O21" s="205" t="n"/>
      <c r="P21" s="205" t="n"/>
      <c r="Q21" s="205" t="n"/>
      <c r="R21" s="205" t="n"/>
      <c r="S21" s="205" t="n"/>
      <c r="T21" s="5" t="n"/>
      <c r="U21" s="2" t="n"/>
      <c r="V21" s="2" t="n"/>
      <c r="W21" s="2" t="n"/>
    </row>
    <row r="22" ht="17.5" customFormat="1" customHeight="1" s="2">
      <c r="A22" s="188" t="n"/>
      <c r="B22" s="189" t="n"/>
      <c r="C22" s="205" t="n"/>
      <c r="D22" s="189" t="n"/>
      <c r="E22" s="5" t="n"/>
      <c r="F22" s="205" t="n"/>
      <c r="G22" s="205" t="n"/>
      <c r="H22" s="177" t="n"/>
      <c r="I22" s="177" t="n"/>
      <c r="J22" s="177" t="n"/>
      <c r="K22" s="205" t="n"/>
      <c r="L22" s="205" t="n"/>
      <c r="M22" s="142" t="n"/>
      <c r="N22" s="205" t="n"/>
      <c r="O22" s="205" t="n"/>
      <c r="P22" s="205" t="n"/>
      <c r="Q22" s="205" t="n"/>
      <c r="R22" s="205" t="n"/>
      <c r="S22" s="205" t="n"/>
      <c r="T22" s="5" t="n"/>
    </row>
    <row r="23" ht="17.5" customFormat="1" customHeight="1" s="2">
      <c r="A23" s="188" t="n"/>
      <c r="B23" s="189" t="n"/>
      <c r="C23" s="197" t="n"/>
      <c r="D23" s="189" t="n"/>
      <c r="E23" s="5" t="n"/>
      <c r="F23" s="205" t="n"/>
      <c r="G23" s="205" t="n"/>
      <c r="H23" s="160" t="n"/>
      <c r="I23" s="160" t="n"/>
      <c r="J23" s="160" t="n"/>
      <c r="K23" s="205" t="n"/>
      <c r="L23" s="205" t="n"/>
      <c r="M23" s="142" t="n"/>
      <c r="N23" s="205" t="n"/>
      <c r="O23" s="205" t="n"/>
      <c r="P23" s="205" t="n"/>
      <c r="Q23" s="205" t="n"/>
      <c r="R23" s="205" t="n"/>
      <c r="S23" s="205" t="n"/>
      <c r="T23" s="5" t="n"/>
    </row>
    <row r="24" ht="17.5" customFormat="1" customHeight="1" s="2">
      <c r="A24" s="188" t="n"/>
      <c r="B24" s="189" t="n"/>
      <c r="C24" s="188" t="n"/>
      <c r="D24" s="189" t="n"/>
      <c r="E24" s="5" t="n"/>
      <c r="F24" s="205" t="n"/>
      <c r="G24" s="205" t="n"/>
      <c r="H24" s="160" t="n"/>
      <c r="I24" s="160" t="n"/>
      <c r="J24" s="160" t="n"/>
      <c r="K24" s="205" t="n"/>
      <c r="L24" s="205" t="n"/>
      <c r="M24" s="142" t="n"/>
      <c r="N24" s="205" t="n"/>
      <c r="O24" s="205" t="n"/>
      <c r="P24" s="205" t="n"/>
      <c r="Q24" s="205" t="n"/>
      <c r="R24" s="5" t="n"/>
      <c r="S24" s="5" t="n"/>
      <c r="T24" s="5" t="n"/>
    </row>
    <row r="25" ht="17.5" customFormat="1" customHeight="1" s="2">
      <c r="A25" s="188" t="n"/>
      <c r="B25" s="189" t="n"/>
      <c r="C25" s="188" t="n"/>
      <c r="D25" s="189" t="n"/>
      <c r="E25" s="5" t="n"/>
      <c r="F25" s="205" t="n"/>
      <c r="G25" s="205" t="n"/>
      <c r="H25" s="160" t="n"/>
      <c r="I25" s="160" t="n"/>
      <c r="J25" s="160" t="n"/>
      <c r="K25" s="205" t="n"/>
      <c r="L25" s="205" t="n"/>
      <c r="M25" s="142" t="n"/>
      <c r="N25" s="205" t="n"/>
      <c r="O25" s="205" t="n"/>
      <c r="P25" s="205" t="n"/>
      <c r="Q25" s="205" t="n"/>
      <c r="R25" s="5" t="n"/>
      <c r="S25" s="5" t="n"/>
      <c r="T25" s="5" t="n"/>
    </row>
    <row r="26" ht="17.5" customFormat="1" customHeight="1" s="2">
      <c r="A26" s="188" t="n"/>
      <c r="B26" s="189" t="n"/>
      <c r="C26" s="188" t="n"/>
      <c r="D26" s="189" t="n"/>
      <c r="E26" s="5" t="n"/>
      <c r="F26" s="205" t="n"/>
      <c r="G26" s="205" t="n"/>
      <c r="H26" s="160" t="n"/>
      <c r="I26" s="160" t="n"/>
      <c r="J26" s="160" t="n"/>
      <c r="K26" s="205" t="n"/>
      <c r="L26" s="205" t="n"/>
      <c r="M26" s="142" t="n"/>
      <c r="N26" s="205" t="n"/>
      <c r="O26" s="205" t="n"/>
      <c r="P26" s="205" t="n"/>
      <c r="Q26" s="205" t="n"/>
      <c r="R26" s="5" t="n"/>
      <c r="S26" s="5" t="n"/>
      <c r="T26" s="5" t="n"/>
    </row>
    <row r="27" ht="17.5" customFormat="1" customHeight="1" s="2">
      <c r="A27" s="188" t="n"/>
      <c r="B27" s="189" t="n"/>
      <c r="C27" s="188" t="n"/>
      <c r="D27" s="189" t="n"/>
      <c r="E27" s="5" t="n"/>
      <c r="F27" s="205" t="n"/>
      <c r="G27" s="205" t="n"/>
      <c r="H27" s="160" t="n"/>
      <c r="I27" s="160" t="n"/>
      <c r="J27" s="160" t="n"/>
      <c r="K27" s="205" t="n"/>
      <c r="L27" s="205" t="n"/>
      <c r="M27" s="142" t="n"/>
      <c r="N27" s="205" t="n"/>
      <c r="O27" s="205" t="n"/>
      <c r="P27" s="205" t="n"/>
      <c r="Q27" s="205" t="n"/>
      <c r="R27" s="5" t="n"/>
      <c r="S27" s="5" t="n"/>
      <c r="T27" s="5" t="n"/>
    </row>
    <row r="28" customFormat="1" s="2">
      <c r="A28" s="188" t="n"/>
      <c r="B28" s="189" t="n"/>
      <c r="C28" s="197" t="n"/>
      <c r="D28" s="189" t="n"/>
      <c r="E28" s="5" t="n"/>
      <c r="F28" s="205" t="n"/>
      <c r="G28" s="205" t="n"/>
      <c r="H28" s="160" t="n"/>
      <c r="I28" s="160" t="n"/>
      <c r="J28" s="160" t="n"/>
      <c r="K28" s="205" t="n"/>
      <c r="L28" s="205" t="n"/>
      <c r="M28" s="142" t="n"/>
      <c r="N28" s="205" t="n"/>
      <c r="O28" s="205" t="n"/>
      <c r="P28" s="205" t="n"/>
      <c r="Q28" s="205" t="n"/>
      <c r="R28" s="5" t="n"/>
      <c r="S28" s="5" t="n"/>
      <c r="T28" s="5" t="n"/>
    </row>
    <row r="29" customFormat="1" s="2">
      <c r="A29" s="188" t="n"/>
      <c r="B29" s="189" t="n"/>
      <c r="C29" s="205" t="n"/>
      <c r="D29" s="189" t="n"/>
      <c r="E29" s="5" t="n"/>
      <c r="F29" s="205" t="n"/>
      <c r="G29" s="205" t="n"/>
      <c r="H29" s="160" t="n"/>
      <c r="I29" s="160" t="n"/>
      <c r="J29" s="160" t="n"/>
      <c r="K29" s="205" t="n"/>
      <c r="L29" s="205" t="n"/>
      <c r="M29" s="142" t="n"/>
      <c r="N29" s="205" t="n"/>
      <c r="O29" s="205" t="n"/>
      <c r="P29" s="205" t="n"/>
      <c r="Q29" s="205" t="n"/>
      <c r="R29" s="205" t="n"/>
      <c r="S29" s="205" t="n"/>
      <c r="T29" s="5" t="n"/>
    </row>
    <row r="30" customFormat="1" s="2">
      <c r="A30" s="188" t="n"/>
      <c r="B30" s="189" t="n"/>
      <c r="C30" s="205" t="n"/>
      <c r="D30" s="189" t="n"/>
      <c r="E30" s="5" t="n"/>
      <c r="F30" s="5" t="n"/>
      <c r="G30" s="205" t="n"/>
      <c r="H30" s="160" t="n"/>
      <c r="I30" s="160" t="n"/>
      <c r="J30" s="160" t="n"/>
      <c r="K30" s="205" t="n"/>
      <c r="L30" s="205" t="n"/>
      <c r="M30" s="142" t="n"/>
      <c r="N30" s="205" t="n"/>
      <c r="O30" s="205" t="n"/>
      <c r="P30" s="205" t="n"/>
      <c r="Q30" s="205" t="n"/>
      <c r="R30" s="205" t="n"/>
      <c r="S30" s="205" t="n"/>
      <c r="T30" s="5" t="n"/>
    </row>
    <row r="31" customFormat="1" s="2">
      <c r="A31" s="188" t="n"/>
      <c r="B31" s="189" t="n"/>
      <c r="C31" s="205" t="n"/>
      <c r="D31" s="189" t="n"/>
      <c r="E31" s="5" t="n"/>
      <c r="F31" s="205" t="n"/>
      <c r="G31" s="205" t="n"/>
      <c r="H31" s="160" t="n"/>
      <c r="I31" s="160" t="n"/>
      <c r="J31" s="160" t="n"/>
      <c r="K31" s="205" t="n"/>
      <c r="L31" s="205" t="n"/>
      <c r="M31" s="142" t="n"/>
      <c r="N31" s="205" t="n"/>
      <c r="O31" s="205" t="n"/>
      <c r="P31" s="205" t="n"/>
      <c r="Q31" s="205" t="n"/>
      <c r="R31" s="205" t="n"/>
      <c r="S31" s="205" t="n"/>
      <c r="T31" s="5" t="n"/>
    </row>
    <row r="32" ht="16.25" customFormat="1" customHeight="1" s="2">
      <c r="A32" s="188" t="n"/>
      <c r="B32" s="189" t="n"/>
      <c r="C32" s="197" t="n"/>
      <c r="D32" s="189" t="n"/>
      <c r="E32" s="5" t="n"/>
      <c r="F32" s="205" t="n"/>
      <c r="G32" s="205" t="n"/>
      <c r="H32" s="160" t="n"/>
      <c r="I32" s="160" t="n"/>
      <c r="J32" s="160" t="n"/>
      <c r="K32" s="205" t="n"/>
      <c r="L32" s="205" t="n"/>
      <c r="M32" s="142" t="n"/>
      <c r="N32" s="205" t="n"/>
      <c r="O32" s="205" t="n"/>
      <c r="P32" s="205" t="n"/>
      <c r="Q32" s="205" t="n"/>
      <c r="R32" s="205" t="n"/>
      <c r="S32" s="205" t="n"/>
      <c r="T32" s="5" t="n"/>
    </row>
    <row r="33" ht="16.25" customFormat="1" customHeight="1" s="2">
      <c r="A33" s="188" t="n"/>
      <c r="B33" s="189" t="n"/>
      <c r="C33" s="197" t="n"/>
      <c r="D33" s="189" t="n"/>
      <c r="E33" s="5" t="n"/>
      <c r="F33" s="205" t="n"/>
      <c r="G33" s="205" t="n"/>
      <c r="H33" s="160" t="n"/>
      <c r="I33" s="160" t="n"/>
      <c r="J33" s="160" t="n"/>
      <c r="K33" s="205" t="n"/>
      <c r="L33" s="205" t="n"/>
      <c r="M33" s="142" t="n"/>
      <c r="N33" s="205" t="n"/>
      <c r="O33" s="205" t="n"/>
      <c r="P33" s="205" t="n"/>
      <c r="Q33" s="205" t="n"/>
      <c r="R33" s="205" t="n"/>
      <c r="S33" s="205" t="n"/>
      <c r="T33" s="5" t="n"/>
      <c r="U33" s="2" t="inlineStr">
        <is>
          <t>MFIＰ</t>
        </is>
      </c>
    </row>
    <row r="34" ht="16.5" customFormat="1" customHeight="1" s="73">
      <c r="A34" s="188" t="n"/>
      <c r="B34" s="189" t="n"/>
      <c r="C34" s="197" t="n"/>
      <c r="D34" s="189" t="n"/>
      <c r="E34" s="5" t="n"/>
      <c r="F34" s="205" t="n"/>
      <c r="G34" s="205" t="n"/>
      <c r="H34" s="160" t="n"/>
      <c r="I34" s="160" t="n"/>
      <c r="J34" s="160" t="n"/>
      <c r="K34" s="205" t="n"/>
      <c r="L34" s="205" t="n"/>
      <c r="M34" s="142" t="n"/>
      <c r="N34" s="205" t="n"/>
      <c r="O34" s="205" t="n"/>
      <c r="P34" s="205" t="n"/>
      <c r="Q34" s="205" t="n"/>
      <c r="R34" s="205" t="n"/>
      <c r="S34" s="205" t="n"/>
      <c r="T34" s="5" t="n"/>
    </row>
    <row r="35" customFormat="1" s="73">
      <c r="A35" s="188" t="n"/>
      <c r="B35" s="189" t="n"/>
      <c r="C35" s="205" t="n"/>
      <c r="D35" s="189" t="n"/>
      <c r="E35" s="5" t="n"/>
      <c r="F35" s="205" t="n"/>
      <c r="G35" s="205" t="n"/>
      <c r="H35" s="160" t="n"/>
      <c r="I35" s="160" t="n"/>
      <c r="J35" s="160" t="n"/>
      <c r="K35" s="205" t="n"/>
      <c r="L35" s="205" t="n"/>
      <c r="M35" s="142" t="n"/>
      <c r="N35" s="205" t="n"/>
      <c r="O35" s="205" t="n"/>
      <c r="P35" s="205" t="n"/>
      <c r="Q35" s="205" t="n"/>
      <c r="R35" s="205" t="n"/>
      <c r="S35" s="205" t="n"/>
      <c r="T35" s="5" t="n"/>
    </row>
    <row r="36" ht="16.5" customHeight="1" s="180">
      <c r="A36" s="188" t="n"/>
      <c r="B36" s="189" t="n"/>
      <c r="C36" s="205" t="n"/>
      <c r="D36" s="189" t="n"/>
      <c r="E36" s="5" t="n"/>
      <c r="F36" s="205" t="n"/>
      <c r="G36" s="205" t="n"/>
      <c r="H36" s="160" t="n"/>
      <c r="I36" s="160" t="n"/>
      <c r="J36" s="160" t="n"/>
      <c r="K36" s="205" t="n"/>
      <c r="L36" s="205" t="n"/>
      <c r="M36" s="142" t="n"/>
      <c r="N36" s="205" t="n"/>
      <c r="O36" s="205" t="n"/>
      <c r="P36" s="205" t="n"/>
      <c r="Q36" s="205" t="n"/>
      <c r="R36" s="205" t="n"/>
      <c r="S36" s="205" t="n"/>
      <c r="T36" s="5" t="n"/>
      <c r="U36" s="2" t="n"/>
      <c r="V36" s="2" t="n"/>
      <c r="W36" s="2" t="n"/>
    </row>
    <row r="37">
      <c r="A37" s="188" t="n"/>
      <c r="B37" s="189" t="n"/>
      <c r="C37" s="205" t="n"/>
      <c r="D37" s="189" t="n"/>
      <c r="E37" s="5" t="n"/>
      <c r="F37" s="205" t="n"/>
      <c r="G37" s="205" t="n"/>
      <c r="H37" s="160" t="n"/>
      <c r="I37" s="160" t="n"/>
      <c r="J37" s="160" t="n"/>
      <c r="K37" s="205" t="n"/>
      <c r="L37" s="205" t="n"/>
      <c r="M37" s="142" t="n"/>
      <c r="N37" s="205" t="n"/>
      <c r="O37" s="205" t="n"/>
      <c r="P37" s="205" t="n"/>
      <c r="Q37" s="205" t="n"/>
      <c r="R37" s="205" t="n"/>
      <c r="S37" s="205" t="n"/>
      <c r="T37" s="5" t="n"/>
      <c r="U37" s="2" t="n"/>
      <c r="V37" s="2" t="n"/>
      <c r="W37" s="2" t="n"/>
    </row>
    <row r="38" ht="16.5" customHeight="1" s="180">
      <c r="A38" s="188" t="n"/>
      <c r="B38" s="189" t="n"/>
      <c r="C38" s="205" t="n"/>
      <c r="D38" s="189" t="n"/>
      <c r="E38" s="5" t="n"/>
      <c r="F38" s="205" t="n"/>
      <c r="G38" s="205" t="n"/>
      <c r="H38" s="174" t="n"/>
      <c r="I38" s="178" t="n"/>
      <c r="J38" s="178" t="n"/>
      <c r="K38" s="205" t="n"/>
      <c r="L38" s="205" t="n"/>
      <c r="M38" s="142" t="n"/>
      <c r="N38" s="205" t="n"/>
      <c r="O38" s="205" t="n"/>
      <c r="P38" s="205" t="n"/>
      <c r="Q38" s="205" t="n"/>
      <c r="R38" s="205" t="n"/>
      <c r="S38" s="205" t="n"/>
      <c r="T38" s="5" t="n"/>
      <c r="U38" s="2" t="n"/>
      <c r="V38" s="2" t="n"/>
      <c r="W38" s="2" t="n"/>
    </row>
    <row r="39" ht="16.5" customHeight="1" s="180">
      <c r="A39" s="188" t="n"/>
      <c r="B39" s="189" t="n"/>
      <c r="C39" s="205" t="n"/>
      <c r="D39" s="189" t="n"/>
      <c r="E39" s="5" t="n"/>
      <c r="F39" s="205" t="n"/>
      <c r="G39" s="205" t="n"/>
      <c r="H39" s="160" t="n"/>
      <c r="I39" s="160" t="n"/>
      <c r="J39" s="160" t="n"/>
      <c r="K39" s="205" t="n"/>
      <c r="L39" s="205" t="n"/>
      <c r="M39" s="142" t="n"/>
      <c r="N39" s="205" t="n"/>
      <c r="O39" s="205" t="n"/>
      <c r="P39" s="205" t="n"/>
      <c r="Q39" s="205" t="n"/>
      <c r="R39" s="205" t="n"/>
      <c r="S39" s="205" t="n"/>
      <c r="T39" s="5" t="n"/>
      <c r="U39" s="2" t="n"/>
      <c r="V39" s="2" t="n"/>
      <c r="W39" s="2" t="n"/>
    </row>
    <row r="40" ht="18.5" customFormat="1" customHeight="1" s="2">
      <c r="A40" s="188" t="n"/>
      <c r="B40" s="189" t="n"/>
      <c r="C40" s="205" t="n"/>
      <c r="D40" s="189" t="n"/>
      <c r="E40" s="5" t="n"/>
      <c r="F40" s="205" t="n"/>
      <c r="G40" s="205" t="n"/>
      <c r="H40" s="160" t="n"/>
      <c r="I40" s="160" t="n"/>
      <c r="J40" s="160" t="n"/>
      <c r="K40" s="205" t="n"/>
      <c r="L40" s="205" t="n"/>
      <c r="M40" s="142" t="n"/>
      <c r="N40" s="205" t="n"/>
      <c r="O40" s="205" t="n"/>
      <c r="P40" s="205" t="n"/>
      <c r="Q40" s="205" t="n"/>
      <c r="R40" s="205" t="n"/>
      <c r="S40" s="205" t="n"/>
      <c r="T40" s="5" t="n"/>
    </row>
    <row r="41" ht="18.5" customFormat="1" customHeight="1" s="2">
      <c r="A41" s="188" t="n"/>
      <c r="B41" s="189" t="n"/>
      <c r="C41" s="205" t="n"/>
      <c r="D41" s="189" t="n"/>
      <c r="E41" s="5" t="n"/>
      <c r="F41" s="205" t="n"/>
      <c r="G41" s="205" t="n"/>
      <c r="H41" s="160" t="n"/>
      <c r="I41" s="160" t="n"/>
      <c r="J41" s="160" t="n"/>
      <c r="K41" s="205" t="n"/>
      <c r="L41" s="205" t="n"/>
      <c r="M41" s="142" t="n"/>
      <c r="N41" s="205" t="n"/>
      <c r="O41" s="205" t="n"/>
      <c r="P41" s="205" t="n"/>
      <c r="Q41" s="205" t="n"/>
      <c r="R41" s="205" t="n"/>
      <c r="S41" s="205" t="n"/>
      <c r="T41" s="5" t="n"/>
    </row>
    <row r="42" ht="18.5" customFormat="1" customHeight="1" s="2">
      <c r="A42" s="188" t="n"/>
      <c r="B42" s="189" t="n"/>
      <c r="C42" s="205" t="n"/>
      <c r="D42" s="189" t="n"/>
      <c r="E42" s="5" t="n"/>
      <c r="F42" s="205" t="n"/>
      <c r="G42" s="205" t="n"/>
      <c r="H42" s="174" t="n"/>
      <c r="I42" s="178" t="n"/>
      <c r="J42" s="178" t="n"/>
      <c r="K42" s="205" t="n"/>
      <c r="L42" s="205" t="n"/>
      <c r="M42" s="142" t="n"/>
      <c r="N42" s="205" t="n"/>
      <c r="O42" s="205" t="n"/>
      <c r="P42" s="205" t="n"/>
      <c r="Q42" s="205" t="n"/>
      <c r="R42" s="205" t="n"/>
      <c r="S42" s="205" t="n"/>
      <c r="T42" s="5" t="n"/>
    </row>
    <row r="43">
      <c r="A43" s="188" t="n"/>
      <c r="B43" s="189" t="n"/>
      <c r="C43" s="197" t="n"/>
      <c r="D43" s="189" t="n"/>
      <c r="E43" s="5" t="n"/>
      <c r="F43" s="205" t="n"/>
      <c r="G43" s="205" t="n"/>
      <c r="H43" s="160" t="n"/>
      <c r="I43" s="160" t="n"/>
      <c r="J43" s="160" t="n"/>
      <c r="K43" s="205" t="n"/>
      <c r="L43" s="205" t="n"/>
      <c r="M43" s="142" t="n"/>
      <c r="N43" s="205" t="n"/>
      <c r="O43" s="205" t="n"/>
      <c r="P43" s="205" t="n"/>
      <c r="Q43" s="205" t="n"/>
      <c r="R43" s="205" t="n"/>
      <c r="S43" s="205" t="n"/>
      <c r="T43" s="5" t="n"/>
      <c r="U43" s="2" t="n"/>
      <c r="V43" s="2" t="n"/>
      <c r="W43" s="2" t="n"/>
    </row>
    <row r="44">
      <c r="A44" s="188" t="n"/>
      <c r="B44" s="189" t="n"/>
      <c r="C44" s="197" t="n"/>
      <c r="D44" s="189" t="n"/>
      <c r="E44" s="5" t="n"/>
      <c r="F44" s="205" t="n"/>
      <c r="G44" s="205" t="n"/>
      <c r="H44" s="160" t="n"/>
      <c r="I44" s="160" t="n"/>
      <c r="J44" s="160" t="n"/>
      <c r="K44" s="205" t="n"/>
      <c r="L44" s="205" t="n"/>
      <c r="M44" s="142" t="n"/>
      <c r="N44" s="205" t="n"/>
      <c r="O44" s="205" t="n"/>
      <c r="P44" s="205" t="n"/>
      <c r="Q44" s="205" t="n"/>
      <c r="R44" s="205" t="n"/>
      <c r="S44" s="205" t="n"/>
      <c r="T44" s="5" t="n"/>
      <c r="U44" s="2" t="n"/>
      <c r="V44" s="2" t="n"/>
      <c r="W44" s="2" t="n"/>
    </row>
    <row r="45" customFormat="1" s="2">
      <c r="A45" s="188" t="n"/>
      <c r="B45" s="189" t="n"/>
      <c r="C45" s="197" t="n"/>
      <c r="D45" s="189" t="n"/>
      <c r="E45" s="5" t="n"/>
      <c r="F45" s="205" t="n"/>
      <c r="G45" s="205" t="n"/>
      <c r="H45" s="174" t="n"/>
      <c r="I45" s="178" t="n"/>
      <c r="J45" s="178" t="n"/>
      <c r="K45" s="205" t="n"/>
      <c r="L45" s="205" t="n"/>
      <c r="M45" s="142" t="n"/>
      <c r="N45" s="205" t="n"/>
      <c r="O45" s="205" t="n"/>
      <c r="P45" s="205" t="n"/>
      <c r="Q45" s="205" t="n"/>
      <c r="R45" s="205" t="n"/>
      <c r="S45" s="205" t="n"/>
      <c r="T45" s="5" t="n"/>
    </row>
    <row r="46" ht="16.5" customHeight="1" s="180">
      <c r="A46" s="188" t="n"/>
      <c r="B46" s="189" t="n"/>
      <c r="C46" s="197" t="n"/>
      <c r="D46" s="189" t="n"/>
      <c r="E46" s="5" t="n"/>
      <c r="F46" s="205" t="n"/>
      <c r="G46" s="104" t="n"/>
      <c r="H46" s="160" t="n"/>
      <c r="I46" s="160" t="n"/>
      <c r="J46" s="160" t="n"/>
      <c r="K46" s="205" t="n"/>
      <c r="L46" s="205" t="n"/>
      <c r="M46" s="142" t="n"/>
      <c r="N46" s="205" t="n"/>
      <c r="O46" s="205" t="n"/>
      <c r="P46" s="205" t="n"/>
      <c r="Q46" s="205" t="n"/>
      <c r="R46" s="205" t="n"/>
      <c r="S46" s="205" t="n"/>
      <c r="T46" s="5" t="n"/>
      <c r="U46" s="2" t="n"/>
      <c r="V46" s="2" t="n"/>
      <c r="W46" s="2" t="n"/>
    </row>
    <row r="47">
      <c r="A47" s="188" t="n"/>
      <c r="B47" s="189" t="n"/>
      <c r="C47" s="197" t="n"/>
      <c r="D47" s="189" t="n"/>
      <c r="E47" s="5" t="n"/>
      <c r="F47" s="205" t="n"/>
      <c r="G47" s="104" t="n"/>
      <c r="H47" s="160" t="n"/>
      <c r="I47" s="160" t="n"/>
      <c r="J47" s="160" t="n"/>
      <c r="K47" s="205" t="n"/>
      <c r="L47" s="205" t="n"/>
      <c r="M47" s="142" t="n"/>
      <c r="N47" s="205" t="n"/>
      <c r="O47" s="205" t="n"/>
      <c r="P47" s="205" t="n"/>
      <c r="Q47" s="205" t="n"/>
      <c r="R47" s="205" t="n"/>
      <c r="S47" s="205" t="n"/>
      <c r="T47" s="5" t="n"/>
      <c r="U47" s="2" t="n"/>
      <c r="V47" s="2" t="n"/>
      <c r="W47" s="2" t="n"/>
    </row>
    <row r="48" ht="15.75" customHeight="1" s="180">
      <c r="A48" s="188" t="n"/>
      <c r="B48" s="189" t="n"/>
      <c r="C48" s="205" t="n"/>
      <c r="D48" s="189" t="n"/>
      <c r="E48" s="5" t="n"/>
      <c r="F48" s="205" t="n"/>
      <c r="G48" s="205" t="n"/>
      <c r="H48" s="160" t="n"/>
      <c r="I48" s="160" t="n"/>
      <c r="J48" s="160" t="n"/>
      <c r="K48" s="205" t="n"/>
      <c r="L48" s="205" t="n"/>
      <c r="M48" s="142" t="n"/>
      <c r="N48" s="205" t="n"/>
      <c r="O48" s="205" t="n"/>
      <c r="P48" s="205" t="n"/>
      <c r="Q48" s="205" t="n"/>
      <c r="R48" s="205" t="n"/>
      <c r="S48" s="205" t="n"/>
      <c r="T48" s="5" t="n"/>
      <c r="U48" s="2" t="n"/>
      <c r="V48" s="2" t="n"/>
      <c r="W48" s="2" t="n"/>
    </row>
    <row r="49" ht="16.5" customHeight="1" s="180">
      <c r="A49" s="188" t="n"/>
      <c r="B49" s="189" t="n"/>
      <c r="C49" s="205" t="n"/>
      <c r="D49" s="189" t="n"/>
      <c r="E49" s="5" t="n"/>
      <c r="F49" s="205" t="n"/>
      <c r="G49" s="104" t="n"/>
      <c r="H49" s="160" t="n"/>
      <c r="I49" s="160" t="n"/>
      <c r="J49" s="160" t="n"/>
      <c r="K49" s="205" t="n"/>
      <c r="L49" s="205" t="n"/>
      <c r="M49" s="142" t="n"/>
      <c r="N49" s="205" t="n"/>
      <c r="O49" s="205" t="n"/>
      <c r="P49" s="205" t="n"/>
      <c r="Q49" s="205" t="n"/>
      <c r="R49" s="205" t="n"/>
      <c r="S49" s="205" t="n"/>
      <c r="T49" s="5" t="n"/>
      <c r="U49" s="2" t="n"/>
      <c r="V49" s="2" t="n"/>
      <c r="W49" s="2" t="n"/>
    </row>
    <row r="50" customFormat="1" s="2">
      <c r="A50" s="188" t="n"/>
      <c r="B50" s="189" t="n"/>
      <c r="C50" s="197" t="n"/>
      <c r="D50" s="189" t="n"/>
      <c r="E50" s="5" t="n"/>
      <c r="F50" s="205" t="n"/>
      <c r="G50" s="205" t="n"/>
      <c r="H50" s="160" t="n"/>
      <c r="I50" s="160" t="n"/>
      <c r="J50" s="160" t="n"/>
      <c r="K50" s="205" t="n"/>
      <c r="L50" s="205" t="n"/>
      <c r="M50" s="142" t="n"/>
      <c r="N50" s="205" t="n"/>
      <c r="O50" s="205" t="n"/>
      <c r="P50" s="205" t="n"/>
      <c r="Q50" s="205" t="n"/>
      <c r="R50" s="205" t="n"/>
      <c r="S50" s="205" t="n"/>
      <c r="T50" s="5" t="n"/>
    </row>
    <row r="51" customFormat="1" s="2">
      <c r="A51" s="188" t="n"/>
      <c r="B51" s="189" t="n"/>
      <c r="C51" s="197" t="n"/>
      <c r="D51" s="189" t="n"/>
      <c r="E51" s="5" t="n"/>
      <c r="F51" s="205" t="n"/>
      <c r="G51" s="205" t="n"/>
      <c r="H51" s="160" t="n"/>
      <c r="I51" s="160" t="n"/>
      <c r="J51" s="160" t="n"/>
      <c r="K51" s="205" t="n"/>
      <c r="L51" s="205" t="n"/>
      <c r="M51" s="142" t="n"/>
      <c r="N51" s="205" t="n"/>
      <c r="O51" s="205" t="n"/>
      <c r="P51" s="205" t="n"/>
      <c r="Q51" s="205" t="n"/>
      <c r="R51" s="205" t="n"/>
      <c r="S51" s="205" t="n"/>
      <c r="T51" s="5" t="n"/>
    </row>
    <row r="52" customFormat="1" s="2">
      <c r="A52" s="188" t="n"/>
      <c r="B52" s="189" t="n"/>
      <c r="C52" s="197" t="n"/>
      <c r="D52" s="189" t="n"/>
      <c r="E52" s="5" t="n"/>
      <c r="F52" s="205" t="n"/>
      <c r="G52" s="205" t="n"/>
      <c r="H52" s="174" t="n"/>
      <c r="I52" s="178" t="n"/>
      <c r="J52" s="178" t="n"/>
      <c r="K52" s="205" t="n"/>
      <c r="L52" s="205" t="n"/>
      <c r="M52" s="142" t="n"/>
      <c r="N52" s="205" t="n"/>
      <c r="O52" s="205" t="n"/>
      <c r="P52" s="205" t="n"/>
      <c r="Q52" s="205" t="n"/>
      <c r="R52" s="205" t="n"/>
      <c r="S52" s="205" t="n"/>
      <c r="T52" s="5" t="n"/>
    </row>
    <row r="53" customFormat="1" s="2">
      <c r="A53" s="188" t="n"/>
      <c r="B53" s="189" t="n"/>
      <c r="C53" s="197" t="n"/>
      <c r="D53" s="189" t="n"/>
      <c r="E53" s="5" t="n"/>
      <c r="F53" s="205" t="n"/>
      <c r="G53" s="205" t="n"/>
      <c r="H53" s="83" t="n"/>
      <c r="I53" s="83" t="n"/>
      <c r="J53" s="83" t="n"/>
      <c r="K53" s="205" t="n"/>
      <c r="L53" s="205" t="n"/>
      <c r="M53" s="142" t="n"/>
      <c r="N53" s="205" t="n"/>
      <c r="O53" s="205" t="n"/>
      <c r="P53" s="205" t="n"/>
      <c r="Q53" s="205" t="n"/>
      <c r="R53" s="205" t="n"/>
      <c r="S53" s="205" t="n"/>
      <c r="T53" s="5" t="n"/>
    </row>
    <row r="54" customFormat="1" s="2">
      <c r="A54" s="188" t="n"/>
      <c r="B54" s="189" t="n"/>
      <c r="C54" s="197" t="n"/>
      <c r="D54" s="189" t="n"/>
      <c r="E54" s="5" t="n"/>
      <c r="F54" s="205" t="n"/>
      <c r="G54" s="205" t="n"/>
      <c r="H54" s="160" t="n"/>
      <c r="I54" s="160" t="n"/>
      <c r="J54" s="160" t="n"/>
      <c r="K54" s="205" t="n"/>
      <c r="L54" s="205" t="n"/>
      <c r="M54" s="142" t="n"/>
      <c r="N54" s="205" t="n"/>
      <c r="O54" s="205" t="n"/>
      <c r="P54" s="205" t="n"/>
      <c r="Q54" s="205" t="n"/>
      <c r="R54" s="205" t="n"/>
      <c r="S54" s="205" t="n"/>
      <c r="T54" s="5" t="n"/>
    </row>
    <row r="55" customFormat="1" s="2">
      <c r="A55" s="188" t="n"/>
      <c r="B55" s="189" t="n"/>
      <c r="C55" s="197" t="n"/>
      <c r="D55" s="189" t="n"/>
      <c r="E55" s="5" t="n"/>
      <c r="F55" s="205" t="n"/>
      <c r="G55" s="205" t="n"/>
      <c r="H55" s="160" t="n"/>
      <c r="I55" s="160" t="n"/>
      <c r="J55" s="160" t="n"/>
      <c r="K55" s="205" t="n"/>
      <c r="L55" s="205" t="n"/>
      <c r="M55" s="142" t="n"/>
      <c r="N55" s="205" t="n"/>
      <c r="O55" s="205" t="n"/>
      <c r="P55" s="205" t="n"/>
      <c r="Q55" s="205" t="n"/>
      <c r="R55" s="205" t="n"/>
      <c r="S55" s="205" t="n"/>
      <c r="T55" s="5" t="n"/>
    </row>
    <row r="56" customFormat="1" s="2">
      <c r="A56" s="188" t="n"/>
      <c r="B56" s="189" t="n"/>
      <c r="C56" s="197" t="n"/>
      <c r="D56" s="189" t="n"/>
      <c r="E56" s="5" t="n"/>
      <c r="F56" s="205" t="n"/>
      <c r="G56" s="205" t="n"/>
      <c r="H56" s="173" t="n"/>
      <c r="I56" s="177" t="n"/>
      <c r="J56" s="177" t="n"/>
      <c r="K56" s="205" t="n"/>
      <c r="L56" s="205" t="n"/>
      <c r="M56" s="142" t="n"/>
      <c r="N56" s="205" t="n"/>
      <c r="O56" s="205" t="n"/>
      <c r="P56" s="205" t="n"/>
      <c r="Q56" s="205" t="n"/>
      <c r="R56" s="205" t="n"/>
      <c r="S56" s="205" t="n"/>
      <c r="T56" s="5" t="n"/>
    </row>
    <row r="57" customFormat="1" s="2">
      <c r="A57" s="188" t="n"/>
      <c r="B57" s="189" t="n"/>
      <c r="C57" s="197" t="n"/>
      <c r="D57" s="189" t="n"/>
      <c r="E57" s="5" t="n"/>
      <c r="F57" s="205" t="n"/>
      <c r="G57" s="205" t="n"/>
      <c r="H57" s="160" t="n"/>
      <c r="I57" s="160" t="n"/>
      <c r="J57" s="160" t="n"/>
      <c r="K57" s="205" t="n"/>
      <c r="L57" s="205" t="n"/>
      <c r="M57" s="142" t="n"/>
      <c r="N57" s="205" t="n"/>
      <c r="O57" s="205" t="n"/>
      <c r="P57" s="205" t="n"/>
      <c r="Q57" s="205" t="n"/>
      <c r="R57" s="205" t="n"/>
      <c r="S57" s="205" t="n"/>
      <c r="T57" s="5" t="n"/>
    </row>
    <row r="58" customFormat="1" s="2">
      <c r="A58" s="188" t="n"/>
      <c r="B58" s="189" t="n"/>
      <c r="C58" s="197" t="n"/>
      <c r="D58" s="189" t="n"/>
      <c r="E58" s="5" t="n"/>
      <c r="F58" s="205" t="n"/>
      <c r="G58" s="205" t="n"/>
      <c r="H58" s="173" t="n"/>
      <c r="I58" s="177" t="n"/>
      <c r="J58" s="177" t="n"/>
      <c r="K58" s="205" t="n"/>
      <c r="L58" s="205" t="n"/>
      <c r="M58" s="142" t="n"/>
      <c r="N58" s="205" t="n"/>
      <c r="O58" s="205" t="n"/>
      <c r="P58" s="205" t="n"/>
      <c r="Q58" s="205" t="n"/>
      <c r="R58" s="205" t="n"/>
      <c r="S58" s="205" t="n"/>
      <c r="T58" s="5" t="n"/>
    </row>
    <row r="59" ht="15.75" customHeight="1" s="180">
      <c r="A59" s="188" t="n"/>
      <c r="B59" s="189" t="n"/>
      <c r="C59" s="197" t="n"/>
      <c r="D59" s="189" t="n"/>
      <c r="E59" s="5" t="n"/>
      <c r="F59" s="205" t="n"/>
      <c r="G59" s="205" t="n"/>
      <c r="H59" s="160" t="n"/>
      <c r="I59" s="160" t="n"/>
      <c r="J59" s="160" t="n"/>
      <c r="K59" s="205" t="n"/>
      <c r="L59" s="205" t="n"/>
      <c r="M59" s="142" t="n"/>
      <c r="N59" s="205" t="n"/>
      <c r="O59" s="205" t="n"/>
      <c r="P59" s="205" t="n"/>
      <c r="Q59" s="205" t="n"/>
      <c r="R59" s="205" t="n"/>
      <c r="S59" s="205" t="n"/>
      <c r="T59" s="5" t="n"/>
      <c r="U59" s="2" t="n"/>
      <c r="V59" s="2" t="n"/>
      <c r="W59" s="2" t="n"/>
    </row>
    <row r="60" ht="17.5" customHeight="1" s="180">
      <c r="A60" s="188" t="n"/>
      <c r="B60" s="189" t="n"/>
      <c r="C60" s="197" t="n"/>
      <c r="D60" s="189" t="n"/>
      <c r="E60" s="5" t="n"/>
      <c r="F60" s="205" t="n"/>
      <c r="G60" s="205" t="n"/>
      <c r="H60" s="160" t="n"/>
      <c r="I60" s="160" t="n"/>
      <c r="J60" s="160" t="n"/>
      <c r="K60" s="205" t="n"/>
      <c r="L60" s="205" t="n"/>
      <c r="M60" s="142" t="n"/>
      <c r="N60" s="205" t="n"/>
      <c r="O60" s="205" t="n"/>
      <c r="P60" s="205" t="n"/>
      <c r="Q60" s="205" t="n"/>
      <c r="R60" s="205" t="n"/>
      <c r="S60" s="205" t="n"/>
      <c r="T60" s="5" t="n"/>
      <c r="U60" s="2" t="n"/>
      <c r="V60" s="2" t="n"/>
      <c r="W60" s="2" t="n"/>
    </row>
    <row r="61" ht="17.5" customHeight="1" s="180">
      <c r="A61" s="188" t="n"/>
      <c r="B61" s="189" t="n"/>
      <c r="C61" s="197" t="n"/>
      <c r="D61" s="189" t="n"/>
      <c r="E61" s="5" t="n"/>
      <c r="F61" s="205" t="n"/>
      <c r="G61" s="205" t="n"/>
      <c r="H61" s="160" t="n"/>
      <c r="I61" s="160" t="n"/>
      <c r="J61" s="160" t="n"/>
      <c r="K61" s="205" t="n"/>
      <c r="L61" s="205" t="n"/>
      <c r="M61" s="142" t="n"/>
      <c r="N61" s="205" t="n"/>
      <c r="O61" s="205" t="n"/>
      <c r="P61" s="205" t="n"/>
      <c r="Q61" s="205" t="n"/>
      <c r="R61" s="205" t="n"/>
      <c r="S61" s="205" t="n"/>
      <c r="T61" s="5" t="n"/>
      <c r="U61" s="2" t="n"/>
      <c r="V61" s="2" t="n"/>
      <c r="W61" s="2" t="n"/>
    </row>
    <row r="62" ht="17.5" customHeight="1" s="180">
      <c r="A62" s="188" t="n"/>
      <c r="B62" s="189" t="n"/>
      <c r="C62" s="197" t="n"/>
      <c r="D62" s="189" t="n"/>
      <c r="E62" s="5" t="n"/>
      <c r="F62" s="205" t="n"/>
      <c r="G62" s="205" t="n"/>
      <c r="H62" s="160" t="n"/>
      <c r="I62" s="160" t="n"/>
      <c r="J62" s="160" t="n"/>
      <c r="K62" s="205" t="n"/>
      <c r="L62" s="205" t="n"/>
      <c r="M62" s="142" t="n"/>
      <c r="N62" s="205" t="n"/>
      <c r="O62" s="205" t="n"/>
      <c r="P62" s="205" t="n"/>
      <c r="Q62" s="205" t="n"/>
      <c r="R62" s="205" t="n"/>
      <c r="S62" s="205" t="n"/>
      <c r="T62" s="5" t="n"/>
      <c r="U62" s="2" t="n"/>
      <c r="V62" s="2" t="n"/>
      <c r="W62" s="2" t="n"/>
    </row>
    <row r="63" ht="17.5" customHeight="1" s="180">
      <c r="A63" s="188" t="n"/>
      <c r="B63" s="189" t="n"/>
      <c r="C63" s="197" t="n"/>
      <c r="D63" s="189" t="n"/>
      <c r="E63" s="5" t="n"/>
      <c r="F63" s="205" t="n"/>
      <c r="G63" s="205" t="n"/>
      <c r="H63" s="160" t="n"/>
      <c r="I63" s="160" t="n"/>
      <c r="J63" s="160" t="n"/>
      <c r="K63" s="205" t="n"/>
      <c r="L63" s="205" t="n"/>
      <c r="M63" s="142" t="n"/>
      <c r="N63" s="205" t="n"/>
      <c r="O63" s="205" t="n"/>
      <c r="P63" s="205" t="n"/>
      <c r="Q63" s="205" t="n"/>
      <c r="R63" s="205" t="n"/>
      <c r="S63" s="205" t="n"/>
      <c r="T63" s="5" t="n"/>
      <c r="U63" s="2" t="n"/>
      <c r="V63" s="2" t="n"/>
      <c r="W63" s="2" t="n"/>
    </row>
    <row r="64" ht="16.5" customHeight="1" s="180">
      <c r="A64" s="188" t="n"/>
      <c r="B64" s="189" t="n"/>
      <c r="C64" s="197" t="n"/>
      <c r="D64" s="189" t="n"/>
      <c r="E64" s="5" t="n"/>
      <c r="F64" s="53" t="n"/>
      <c r="G64" s="205" t="n"/>
      <c r="H64" s="160" t="n"/>
      <c r="I64" s="160" t="n"/>
      <c r="J64" s="160" t="n"/>
      <c r="K64" s="205" t="n"/>
      <c r="L64" s="205" t="n"/>
      <c r="M64" s="142" t="n"/>
      <c r="N64" s="205" t="n"/>
      <c r="O64" s="205" t="n"/>
      <c r="P64" s="205" t="n"/>
      <c r="Q64" s="205" t="n"/>
      <c r="R64" s="205" t="n"/>
      <c r="S64" s="205" t="n"/>
      <c r="T64" s="5" t="n"/>
      <c r="U64" s="2" t="n"/>
      <c r="V64" s="2" t="n"/>
      <c r="W64" s="2" t="n"/>
    </row>
    <row r="65" ht="16.5" customHeight="1" s="180">
      <c r="A65" s="188" t="n"/>
      <c r="B65" s="189" t="n"/>
      <c r="C65" s="197" t="n"/>
      <c r="D65" s="189" t="n"/>
      <c r="E65" s="5" t="n"/>
      <c r="F65" s="53" t="n"/>
      <c r="G65" s="205" t="n"/>
      <c r="H65" s="160" t="n"/>
      <c r="I65" s="160" t="n"/>
      <c r="J65" s="160" t="n"/>
      <c r="K65" s="205" t="n"/>
      <c r="L65" s="205" t="n"/>
      <c r="M65" s="142" t="n"/>
      <c r="N65" s="205" t="n"/>
      <c r="O65" s="205" t="n"/>
      <c r="P65" s="205" t="n"/>
      <c r="Q65" s="205" t="n"/>
      <c r="R65" s="205" t="n"/>
      <c r="S65" s="205" t="n"/>
      <c r="T65" s="5" t="n"/>
      <c r="U65" s="2" t="n"/>
      <c r="V65" s="2" t="n"/>
      <c r="W65" s="2" t="n"/>
    </row>
    <row r="66" ht="16.5" customHeight="1" s="180">
      <c r="A66" s="188" t="n"/>
      <c r="B66" s="189" t="n"/>
      <c r="C66" s="197" t="n"/>
      <c r="D66" s="189" t="n"/>
      <c r="E66" s="5" t="n"/>
      <c r="F66" s="53" t="n"/>
      <c r="G66" s="205" t="n"/>
      <c r="H66" s="160" t="n"/>
      <c r="I66" s="160" t="n"/>
      <c r="J66" s="160" t="n"/>
      <c r="K66" s="205" t="n"/>
      <c r="L66" s="205" t="n"/>
      <c r="M66" s="142" t="n"/>
      <c r="N66" s="205" t="n"/>
      <c r="O66" s="205" t="n"/>
      <c r="P66" s="205" t="n"/>
      <c r="Q66" s="205" t="n"/>
      <c r="R66" s="205" t="n"/>
      <c r="S66" s="205" t="n"/>
      <c r="T66" s="5" t="n"/>
      <c r="U66" s="2" t="n"/>
      <c r="V66" s="2" t="n"/>
      <c r="W66" s="2" t="n"/>
    </row>
    <row r="67" customFormat="1" s="2">
      <c r="A67" s="188" t="n"/>
      <c r="B67" s="189" t="n"/>
      <c r="C67" s="197" t="n"/>
      <c r="D67" s="189" t="n"/>
      <c r="E67" s="5" t="n"/>
      <c r="F67" s="196" t="n"/>
      <c r="G67" s="196" t="n"/>
      <c r="H67" s="160" t="n"/>
      <c r="I67" s="160" t="n"/>
      <c r="J67" s="160" t="n"/>
      <c r="K67" s="205" t="n"/>
      <c r="L67" s="205" t="n"/>
      <c r="M67" s="142" t="n"/>
      <c r="N67" s="205" t="n"/>
      <c r="O67" s="205" t="n"/>
      <c r="P67" s="205" t="n"/>
      <c r="Q67" s="205" t="n"/>
      <c r="R67" s="205" t="n"/>
      <c r="S67" s="205" t="n"/>
      <c r="T67" s="5" t="n"/>
    </row>
    <row r="68" customFormat="1" s="2">
      <c r="A68" s="188" t="n"/>
      <c r="B68" s="189" t="n"/>
      <c r="C68" s="197" t="n"/>
      <c r="D68" s="189" t="n"/>
      <c r="E68" s="5" t="n"/>
      <c r="F68" s="196" t="n"/>
      <c r="G68" s="196" t="n"/>
      <c r="H68" s="160" t="n"/>
      <c r="I68" s="160" t="n"/>
      <c r="J68" s="160" t="n"/>
      <c r="K68" s="205" t="n"/>
      <c r="L68" s="205" t="n"/>
      <c r="M68" s="142" t="n"/>
      <c r="N68" s="205" t="n"/>
      <c r="O68" s="205" t="n"/>
      <c r="P68" s="205" t="n"/>
      <c r="Q68" s="205" t="n"/>
      <c r="R68" s="205" t="n"/>
      <c r="S68" s="205" t="n"/>
      <c r="T68" s="5" t="n"/>
    </row>
    <row r="69" customFormat="1" s="73">
      <c r="A69" s="188" t="n"/>
      <c r="B69" s="189" t="n"/>
      <c r="C69" s="197" t="n"/>
      <c r="D69" s="189" t="n"/>
      <c r="E69" s="5" t="n"/>
      <c r="F69" s="205" t="n"/>
      <c r="G69" s="205" t="n"/>
      <c r="H69" s="160" t="n"/>
      <c r="I69" s="160" t="n"/>
      <c r="J69" s="160" t="n"/>
      <c r="K69" s="205" t="n"/>
      <c r="L69" s="205" t="n"/>
      <c r="M69" s="6" t="n"/>
      <c r="N69" s="6" t="n"/>
      <c r="O69" s="205" t="n"/>
      <c r="P69" s="6" t="n"/>
      <c r="Q69" s="6" t="n"/>
      <c r="R69" s="205" t="n"/>
      <c r="S69" s="6" t="n"/>
      <c r="T69" s="145" t="n"/>
      <c r="U69" s="2" t="n"/>
    </row>
    <row r="70" customFormat="1" s="2">
      <c r="A70" s="188" t="n"/>
      <c r="B70" s="189" t="n"/>
      <c r="C70" s="197" t="n"/>
      <c r="D70" s="189" t="n"/>
      <c r="E70" s="5" t="n"/>
      <c r="F70" s="205" t="n"/>
      <c r="G70" s="205" t="n"/>
      <c r="H70" s="160" t="n"/>
      <c r="I70" s="160" t="n"/>
      <c r="J70" s="160" t="n"/>
      <c r="K70" s="205" t="n"/>
      <c r="L70" s="205" t="n"/>
      <c r="M70" s="205" t="n"/>
      <c r="N70" s="205" t="n"/>
      <c r="O70" s="205" t="n"/>
      <c r="P70" s="205" t="n"/>
      <c r="Q70" s="205" t="n"/>
      <c r="R70" s="205" t="n"/>
      <c r="S70" s="205" t="n"/>
      <c r="T70" s="5" t="n"/>
    </row>
    <row r="71" customFormat="1" s="2">
      <c r="A71" s="188" t="n"/>
      <c r="B71" s="189" t="n"/>
      <c r="C71" s="205" t="n"/>
      <c r="D71" s="189" t="n"/>
      <c r="E71" s="5" t="n"/>
      <c r="F71" s="205" t="n"/>
      <c r="G71" s="205" t="n"/>
      <c r="H71" s="160" t="n"/>
      <c r="I71" s="160" t="n"/>
      <c r="J71" s="160" t="n"/>
      <c r="K71" s="205" t="n"/>
      <c r="L71" s="205" t="n"/>
      <c r="M71" s="142" t="n"/>
      <c r="N71" s="205" t="n"/>
      <c r="O71" s="205" t="n"/>
      <c r="P71" s="205" t="n"/>
      <c r="Q71" s="205" t="n"/>
      <c r="R71" s="205" t="n"/>
      <c r="S71" s="205" t="n"/>
      <c r="T71" s="5" t="n"/>
    </row>
    <row r="72" customFormat="1" s="2">
      <c r="A72" s="188" t="n"/>
      <c r="B72" s="189" t="n"/>
      <c r="C72" s="197" t="n"/>
      <c r="D72" s="189" t="n"/>
      <c r="E72" s="5" t="n"/>
      <c r="F72" s="205" t="n"/>
      <c r="G72" s="205" t="n"/>
      <c r="H72" s="160" t="n"/>
      <c r="I72" s="160" t="n"/>
      <c r="J72" s="160" t="n"/>
      <c r="K72" s="205" t="n"/>
      <c r="L72" s="205" t="n"/>
      <c r="M72" s="142" t="n"/>
      <c r="N72" s="205" t="n"/>
      <c r="O72" s="205" t="n"/>
      <c r="P72" s="205" t="n"/>
      <c r="Q72" s="205" t="n"/>
      <c r="R72" s="205" t="n"/>
      <c r="S72" s="205" t="n"/>
      <c r="T72" s="5" t="n"/>
    </row>
    <row r="73" customFormat="1" s="73">
      <c r="A73" s="188" t="n"/>
      <c r="B73" s="189" t="n"/>
      <c r="C73" s="197" t="n"/>
      <c r="D73" s="189" t="n"/>
      <c r="E73" s="5" t="n"/>
      <c r="F73" s="205" t="n"/>
      <c r="G73" s="205" t="n"/>
      <c r="H73" s="173" t="n"/>
      <c r="I73" s="177" t="n"/>
      <c r="J73" s="177" t="n"/>
      <c r="K73" s="205" t="n"/>
      <c r="L73" s="205" t="n"/>
      <c r="M73" s="142" t="n"/>
      <c r="N73" s="205" t="n"/>
      <c r="O73" s="205" t="n"/>
      <c r="P73" s="205" t="n"/>
      <c r="Q73" s="205" t="n"/>
      <c r="R73" s="205" t="n"/>
      <c r="S73" s="205" t="n"/>
      <c r="T73" s="145" t="n"/>
      <c r="U73" s="200" t="n"/>
      <c r="V73" s="75" t="n"/>
    </row>
    <row r="74">
      <c r="A74" s="188" t="n"/>
      <c r="B74" s="189" t="n"/>
      <c r="C74" s="197" t="n"/>
      <c r="D74" s="189" t="n"/>
      <c r="E74" s="5" t="n"/>
      <c r="F74" s="205" t="n"/>
      <c r="G74" s="205" t="n"/>
      <c r="H74" s="160" t="n"/>
      <c r="I74" s="160" t="n"/>
      <c r="J74" s="160" t="n"/>
      <c r="K74" s="205" t="n"/>
      <c r="L74" s="205" t="n"/>
      <c r="M74" s="142" t="n"/>
      <c r="N74" s="205" t="n"/>
      <c r="O74" s="205" t="n"/>
      <c r="P74" s="205" t="n"/>
      <c r="Q74" s="205" t="n"/>
      <c r="R74" s="205" t="n"/>
      <c r="S74" s="205" t="n"/>
      <c r="T74" s="5" t="n"/>
      <c r="U74" s="2" t="n"/>
      <c r="V74" s="75" t="n"/>
      <c r="W74" s="2" t="n"/>
    </row>
    <row r="75">
      <c r="A75" s="188" t="n"/>
      <c r="B75" s="189" t="n"/>
      <c r="C75" s="205" t="n"/>
      <c r="D75" s="189" t="n"/>
      <c r="E75" s="5" t="n"/>
      <c r="F75" s="205" t="n"/>
      <c r="G75" s="205" t="n"/>
      <c r="H75" s="160" t="n"/>
      <c r="I75" s="160" t="n"/>
      <c r="J75" s="160" t="n"/>
      <c r="K75" s="205" t="n"/>
      <c r="L75" s="205" t="n"/>
      <c r="M75" s="142" t="n"/>
      <c r="N75" s="205" t="n"/>
      <c r="O75" s="205" t="n"/>
      <c r="P75" s="205" t="n"/>
      <c r="Q75" s="205" t="n"/>
      <c r="R75" s="205" t="n"/>
      <c r="S75" s="205" t="n"/>
      <c r="T75" s="5" t="n"/>
      <c r="U75" s="2" t="n"/>
      <c r="V75" s="75" t="n"/>
      <c r="W75" s="2" t="n"/>
    </row>
    <row r="76" ht="18" customFormat="1" customHeight="1" s="2">
      <c r="A76" s="188" t="n"/>
      <c r="B76" s="189" t="n"/>
      <c r="C76" s="205" t="n"/>
      <c r="D76" s="189" t="n"/>
      <c r="E76" s="5" t="n"/>
      <c r="F76" s="205" t="n"/>
      <c r="G76" s="205" t="n"/>
      <c r="H76" s="160" t="n"/>
      <c r="I76" s="160" t="n"/>
      <c r="J76" s="160" t="n"/>
      <c r="K76" s="205" t="n"/>
      <c r="L76" s="205" t="n"/>
      <c r="M76" s="142" t="n"/>
      <c r="N76" s="205" t="n"/>
      <c r="O76" s="205" t="n"/>
      <c r="P76" s="205" t="n"/>
      <c r="Q76" s="205" t="n"/>
      <c r="R76" s="205" t="n"/>
      <c r="S76" s="205" t="n"/>
      <c r="T76" s="5" t="n"/>
      <c r="V76" s="75" t="n"/>
    </row>
    <row r="77" ht="18" customFormat="1" customHeight="1" s="2">
      <c r="A77" s="188" t="n"/>
      <c r="B77" s="189" t="n"/>
      <c r="C77" s="205" t="n"/>
      <c r="D77" s="189" t="n"/>
      <c r="E77" s="5" t="n"/>
      <c r="F77" s="205" t="n"/>
      <c r="G77" s="205" t="n"/>
      <c r="H77" s="160" t="n"/>
      <c r="I77" s="160" t="n"/>
      <c r="J77" s="160" t="n"/>
      <c r="K77" s="205" t="n"/>
      <c r="L77" s="205" t="n"/>
      <c r="M77" s="142" t="n"/>
      <c r="N77" s="205" t="n"/>
      <c r="O77" s="205" t="n"/>
      <c r="P77" s="205" t="n"/>
      <c r="Q77" s="205" t="n"/>
      <c r="R77" s="205" t="n"/>
      <c r="S77" s="205" t="n"/>
      <c r="T77" s="5" t="n"/>
      <c r="V77" s="75" t="n"/>
    </row>
    <row r="78">
      <c r="A78" s="188" t="n"/>
      <c r="B78" s="189" t="n"/>
      <c r="C78" s="197" t="n"/>
      <c r="D78" s="189" t="n"/>
      <c r="E78" s="5" t="n"/>
      <c r="F78" s="205" t="n"/>
      <c r="G78" s="205" t="n"/>
      <c r="H78" s="160" t="n"/>
      <c r="I78" s="160" t="n"/>
      <c r="J78" s="160" t="n"/>
      <c r="K78" s="205" t="n"/>
      <c r="L78" s="205" t="n"/>
      <c r="M78" s="142" t="n"/>
      <c r="N78" s="205" t="n"/>
      <c r="O78" s="205" t="n"/>
      <c r="P78" s="205" t="n"/>
      <c r="Q78" s="205" t="n"/>
      <c r="R78" s="205" t="n"/>
      <c r="S78" s="205" t="n"/>
      <c r="T78" s="5" t="n"/>
      <c r="U78" s="2" t="n"/>
      <c r="V78" s="75" t="n"/>
      <c r="W78" s="2" t="n"/>
    </row>
    <row r="79" customFormat="1" s="73">
      <c r="A79" s="188" t="n"/>
      <c r="B79" s="189" t="n"/>
      <c r="C79" s="197" t="n"/>
      <c r="D79" s="189" t="n"/>
      <c r="E79" s="5" t="n"/>
      <c r="F79" s="205" t="n"/>
      <c r="G79" s="205" t="n"/>
      <c r="H79" s="160" t="n"/>
      <c r="I79" s="160" t="n"/>
      <c r="J79" s="160" t="n"/>
      <c r="K79" s="205" t="n"/>
      <c r="L79" s="205" t="n"/>
      <c r="M79" s="142" t="n"/>
      <c r="N79" s="205" t="n"/>
      <c r="O79" s="205" t="n"/>
      <c r="P79" s="205" t="n"/>
      <c r="Q79" s="205" t="n"/>
      <c r="R79" s="205" t="n"/>
      <c r="S79" s="205" t="n"/>
      <c r="T79" s="5" t="n"/>
      <c r="U79" s="2" t="n"/>
      <c r="V79" s="75" t="n"/>
      <c r="W79" s="2" t="n"/>
    </row>
    <row r="80" customFormat="1" s="73">
      <c r="A80" s="188" t="n"/>
      <c r="B80" s="189" t="n"/>
      <c r="C80" s="197" t="n"/>
      <c r="D80" s="189" t="n"/>
      <c r="E80" s="5" t="n"/>
      <c r="F80" s="205" t="n"/>
      <c r="G80" s="205" t="n"/>
      <c r="H80" s="160" t="n"/>
      <c r="I80" s="160" t="n"/>
      <c r="J80" s="160" t="n"/>
      <c r="K80" s="205" t="n"/>
      <c r="L80" s="205" t="n"/>
      <c r="M80" s="142" t="n"/>
      <c r="N80" s="205" t="n"/>
      <c r="O80" s="205" t="n"/>
      <c r="P80" s="205" t="n"/>
      <c r="Q80" s="205" t="n"/>
      <c r="R80" s="205" t="n"/>
      <c r="S80" s="205" t="n"/>
      <c r="T80" s="5" t="n"/>
      <c r="U80" s="2" t="n"/>
      <c r="V80" s="75" t="n"/>
      <c r="W80" s="2" t="n"/>
    </row>
    <row r="81" ht="18.5" customFormat="1" customHeight="1" s="2">
      <c r="A81" s="188" t="n"/>
      <c r="B81" s="189" t="n"/>
      <c r="C81" s="197" t="n"/>
      <c r="D81" s="189" t="n"/>
      <c r="E81" s="5" t="n"/>
      <c r="F81" s="205" t="n"/>
      <c r="G81" s="205" t="n"/>
      <c r="H81" s="160" t="n"/>
      <c r="I81" s="160" t="n"/>
      <c r="J81" s="160" t="n"/>
      <c r="K81" s="205" t="n"/>
      <c r="L81" s="205" t="n"/>
      <c r="M81" s="205" t="n"/>
      <c r="N81" s="205" t="n"/>
      <c r="O81" s="205" t="n"/>
      <c r="P81" s="205" t="n"/>
      <c r="Q81" s="205" t="n"/>
      <c r="R81" s="205" t="n"/>
      <c r="S81" s="205" t="n"/>
      <c r="T81" s="5" t="n"/>
      <c r="V81" s="75" t="n"/>
    </row>
    <row r="82" ht="18.5" customFormat="1" customHeight="1" s="73">
      <c r="A82" s="188" t="n"/>
      <c r="B82" s="189" t="n"/>
      <c r="C82" s="197" t="n"/>
      <c r="D82" s="189" t="n"/>
      <c r="E82" s="5" t="n"/>
      <c r="F82" s="205" t="n"/>
      <c r="G82" s="205" t="n"/>
      <c r="H82" s="160" t="n"/>
      <c r="I82" s="160" t="n"/>
      <c r="J82" s="160" t="n"/>
      <c r="K82" s="205" t="n"/>
      <c r="L82" s="205" t="n"/>
      <c r="M82" s="205" t="n"/>
      <c r="N82" s="205" t="n"/>
      <c r="O82" s="205" t="n"/>
      <c r="P82" s="205" t="n"/>
      <c r="Q82" s="205" t="n"/>
      <c r="R82" s="205" t="n"/>
      <c r="S82" s="205" t="n"/>
      <c r="T82" s="145" t="n"/>
      <c r="U82" s="2" t="n"/>
      <c r="V82" s="162" t="n"/>
    </row>
    <row r="83" ht="18.5" customFormat="1" customHeight="1" s="2">
      <c r="A83" s="188" t="n"/>
      <c r="B83" s="189" t="n"/>
      <c r="C83" s="205" t="n"/>
      <c r="D83" s="189" t="n"/>
      <c r="E83" s="5" t="n"/>
      <c r="F83" s="205" t="n"/>
      <c r="G83" s="205" t="n"/>
      <c r="H83" s="160" t="n"/>
      <c r="I83" s="160" t="n"/>
      <c r="J83" s="160" t="n"/>
      <c r="K83" s="205" t="n"/>
      <c r="L83" s="205" t="n"/>
      <c r="M83" s="142" t="n"/>
      <c r="N83" s="205" t="n"/>
      <c r="O83" s="205" t="n"/>
      <c r="P83" s="205" t="n"/>
      <c r="Q83" s="205" t="n"/>
      <c r="R83" s="205" t="n"/>
      <c r="S83" s="205" t="n"/>
      <c r="T83" s="5" t="n"/>
      <c r="V83" s="75" t="n"/>
    </row>
    <row r="84" ht="18.5" customFormat="1" customHeight="1" s="2">
      <c r="A84" s="188" t="n"/>
      <c r="B84" s="189" t="n"/>
      <c r="C84" s="205" t="n"/>
      <c r="D84" s="189" t="n"/>
      <c r="E84" s="5" t="n"/>
      <c r="F84" s="205" t="n"/>
      <c r="G84" s="205" t="n"/>
      <c r="H84" s="160" t="n"/>
      <c r="I84" s="160" t="n"/>
      <c r="J84" s="160" t="n"/>
      <c r="K84" s="205" t="n"/>
      <c r="L84" s="205" t="n"/>
      <c r="M84" s="142" t="n"/>
      <c r="N84" s="205" t="n"/>
      <c r="O84" s="205" t="n"/>
      <c r="P84" s="205" t="n"/>
      <c r="Q84" s="205" t="n"/>
      <c r="R84" s="205" t="n"/>
      <c r="S84" s="205" t="n"/>
      <c r="T84" s="5" t="n"/>
      <c r="V84" s="75" t="n"/>
      <c r="X84" s="200" t="n"/>
    </row>
    <row r="85" ht="16.5" customHeight="1" s="180">
      <c r="A85" s="188" t="n"/>
      <c r="B85" s="189" t="n"/>
      <c r="C85" s="197" t="n"/>
      <c r="D85" s="189" t="n"/>
      <c r="E85" s="161" t="n"/>
      <c r="F85" s="205" t="n"/>
      <c r="G85" s="205" t="n"/>
      <c r="H85" s="160" t="n"/>
      <c r="I85" s="160" t="n"/>
      <c r="J85" s="160" t="n"/>
      <c r="K85" s="205" t="n"/>
      <c r="L85" s="205" t="n"/>
      <c r="M85" s="142" t="n"/>
      <c r="N85" s="205" t="n"/>
      <c r="O85" s="205" t="n"/>
      <c r="P85" s="205" t="n"/>
      <c r="Q85" s="205" t="n"/>
      <c r="R85" s="205" t="n"/>
      <c r="S85" s="205" t="n"/>
      <c r="T85" s="5" t="n"/>
      <c r="U85" s="2" t="n"/>
      <c r="V85" s="75" t="n"/>
      <c r="W85" s="2" t="n"/>
    </row>
    <row r="86" ht="16.5" customHeight="1" s="180">
      <c r="A86" s="188" t="n"/>
      <c r="B86" s="189" t="n"/>
      <c r="C86" s="197" t="n"/>
      <c r="D86" s="189" t="n"/>
      <c r="E86" s="161" t="n"/>
      <c r="F86" s="205" t="n"/>
      <c r="G86" s="205" t="n"/>
      <c r="H86" s="160" t="n"/>
      <c r="I86" s="160" t="n"/>
      <c r="J86" s="160" t="n"/>
      <c r="K86" s="205" t="n"/>
      <c r="L86" s="205" t="n"/>
      <c r="M86" s="142" t="n"/>
      <c r="N86" s="205" t="n"/>
      <c r="O86" s="205" t="n"/>
      <c r="P86" s="205" t="n"/>
      <c r="Q86" s="205" t="n"/>
      <c r="R86" s="205" t="n"/>
      <c r="S86" s="205" t="n"/>
      <c r="T86" s="5" t="n"/>
      <c r="U86" s="2" t="n"/>
      <c r="V86" s="75" t="n"/>
      <c r="W86" s="2" t="n"/>
    </row>
    <row r="87" ht="18.5" customFormat="1" customHeight="1" s="2">
      <c r="A87" s="188" t="n"/>
      <c r="B87" s="189" t="n"/>
      <c r="C87" s="205" t="n"/>
      <c r="D87" s="189" t="n"/>
      <c r="E87" s="161" t="n"/>
      <c r="F87" s="205" t="n"/>
      <c r="G87" s="205" t="n"/>
      <c r="H87" s="160" t="n"/>
      <c r="I87" s="160" t="n"/>
      <c r="J87" s="160" t="n"/>
      <c r="K87" s="205" t="n"/>
      <c r="L87" s="205" t="n"/>
      <c r="M87" s="142" t="n"/>
      <c r="N87" s="205" t="n"/>
      <c r="O87" s="205" t="n"/>
      <c r="P87" s="205" t="n"/>
      <c r="Q87" s="205" t="n"/>
      <c r="R87" s="205" t="n"/>
      <c r="S87" s="205" t="n"/>
      <c r="T87" s="5" t="n"/>
      <c r="U87" s="141" t="n"/>
      <c r="V87" s="75" t="n"/>
      <c r="X87" s="200" t="n"/>
      <c r="Y87" s="253" t="n"/>
      <c r="Z87" s="253" t="n"/>
      <c r="AA87" s="253" t="n"/>
      <c r="AB87" s="253" t="n"/>
    </row>
    <row r="88" ht="18.5" customFormat="1" customHeight="1" s="2">
      <c r="A88" s="188" t="n"/>
      <c r="B88" s="189" t="n"/>
      <c r="C88" s="205" t="n"/>
      <c r="D88" s="189" t="n"/>
      <c r="E88" s="161" t="n"/>
      <c r="F88" s="205" t="n"/>
      <c r="G88" s="205" t="n"/>
      <c r="H88" s="160" t="n"/>
      <c r="I88" s="160" t="n"/>
      <c r="J88" s="160" t="n"/>
      <c r="K88" s="205" t="n"/>
      <c r="L88" s="205" t="n"/>
      <c r="M88" s="142" t="n"/>
      <c r="N88" s="205" t="n"/>
      <c r="O88" s="205" t="n"/>
      <c r="P88" s="205" t="n"/>
      <c r="Q88" s="205" t="n"/>
      <c r="R88" s="205" t="n"/>
      <c r="S88" s="205" t="n"/>
      <c r="T88" s="5" t="n"/>
      <c r="U88" s="157" t="n"/>
      <c r="V88" s="75" t="n"/>
      <c r="X88" s="200" t="n"/>
      <c r="Y88" s="253" t="n"/>
      <c r="Z88" s="253" t="n"/>
      <c r="AA88" s="253" t="n"/>
      <c r="AB88" s="253" t="n"/>
    </row>
    <row r="89" ht="18.5" customHeight="1" s="180">
      <c r="A89" s="188" t="n"/>
      <c r="B89" s="189" t="n"/>
      <c r="C89" s="197" t="n"/>
      <c r="D89" s="189" t="n"/>
      <c r="E89" s="161" t="n"/>
      <c r="F89" s="205" t="n"/>
      <c r="G89" s="205" t="n"/>
      <c r="H89" s="160" t="n"/>
      <c r="I89" s="160" t="n"/>
      <c r="J89" s="160" t="n"/>
      <c r="K89" s="205" t="n"/>
      <c r="L89" s="205" t="n"/>
      <c r="M89" s="142" t="n"/>
      <c r="N89" s="205" t="n"/>
      <c r="O89" s="205" t="n"/>
      <c r="P89" s="205" t="n"/>
      <c r="Q89" s="205" t="n"/>
      <c r="R89" s="205" t="n"/>
      <c r="S89" s="205" t="n"/>
      <c r="T89" s="5" t="n"/>
      <c r="U89" s="2" t="n"/>
      <c r="V89" s="75" t="n"/>
      <c r="W89" s="2" t="n"/>
      <c r="Y89" s="253" t="n"/>
      <c r="Z89" s="253" t="n"/>
      <c r="AA89" s="253" t="n"/>
      <c r="AB89" s="253" t="n"/>
    </row>
    <row r="90" ht="18.5" customFormat="1" customHeight="1" s="2">
      <c r="A90" s="188" t="n"/>
      <c r="B90" s="189" t="n"/>
      <c r="C90" s="197" t="n"/>
      <c r="D90" s="189" t="n"/>
      <c r="E90" s="161" t="n"/>
      <c r="F90" s="5" t="n"/>
      <c r="G90" s="205" t="n"/>
      <c r="H90" s="160" t="n"/>
      <c r="I90" s="160" t="n"/>
      <c r="J90" s="160" t="n"/>
      <c r="K90" s="205" t="n"/>
      <c r="L90" s="205" t="n"/>
      <c r="M90" s="205" t="n"/>
      <c r="N90" s="205" t="n"/>
      <c r="O90" s="205" t="n"/>
      <c r="P90" s="205" t="n"/>
      <c r="Q90" s="205" t="n"/>
      <c r="R90" s="205" t="n"/>
      <c r="S90" s="205" t="n"/>
      <c r="T90" s="5" t="n"/>
      <c r="V90" s="75" t="n"/>
    </row>
    <row r="91" ht="18.5" customFormat="1" customHeight="1" s="2">
      <c r="A91" s="188" t="n"/>
      <c r="B91" s="189" t="n"/>
      <c r="C91" s="197" t="n"/>
      <c r="D91" s="189" t="n"/>
      <c r="E91" s="161" t="n"/>
      <c r="F91" s="5" t="n"/>
      <c r="G91" s="205" t="n"/>
      <c r="H91" s="160" t="n"/>
      <c r="I91" s="160" t="n"/>
      <c r="J91" s="160" t="n"/>
      <c r="K91" s="205" t="n"/>
      <c r="L91" s="205" t="n"/>
      <c r="M91" s="205" t="n"/>
      <c r="N91" s="205" t="n"/>
      <c r="O91" s="205" t="n"/>
      <c r="P91" s="205" t="n"/>
      <c r="Q91" s="205" t="n"/>
      <c r="R91" s="205" t="n"/>
      <c r="S91" s="205" t="n"/>
      <c r="T91" s="5" t="n"/>
      <c r="V91" s="75" t="n"/>
    </row>
    <row r="92" ht="18" customFormat="1" customHeight="1" s="2">
      <c r="A92" s="188" t="n"/>
      <c r="B92" s="189" t="n"/>
      <c r="C92" s="205" t="n"/>
      <c r="D92" s="189" t="n"/>
      <c r="E92" s="161" t="n"/>
      <c r="F92" s="205" t="n"/>
      <c r="G92" s="205" t="n"/>
      <c r="H92" s="160" t="n"/>
      <c r="I92" s="160" t="n"/>
      <c r="J92" s="160" t="n"/>
      <c r="K92" s="205" t="n"/>
      <c r="L92" s="205" t="n"/>
      <c r="M92" s="205" t="n"/>
      <c r="N92" s="205" t="n"/>
      <c r="O92" s="205" t="n"/>
      <c r="P92" s="205" t="n"/>
      <c r="Q92" s="205" t="n"/>
      <c r="R92" s="205" t="n"/>
      <c r="S92" s="205" t="n"/>
      <c r="T92" s="5" t="n"/>
      <c r="V92" s="75" t="n"/>
    </row>
    <row r="93" ht="18" customFormat="1" customHeight="1" s="2">
      <c r="A93" s="188" t="n"/>
      <c r="B93" s="189" t="n"/>
      <c r="C93" s="205" t="n"/>
      <c r="D93" s="189" t="n"/>
      <c r="E93" s="161" t="n"/>
      <c r="F93" s="205" t="n"/>
      <c r="G93" s="205" t="n"/>
      <c r="H93" s="160" t="n"/>
      <c r="I93" s="160" t="n"/>
      <c r="J93" s="160" t="n"/>
      <c r="K93" s="205" t="n"/>
      <c r="L93" s="205" t="n"/>
      <c r="M93" s="205" t="n"/>
      <c r="N93" s="205" t="n"/>
      <c r="O93" s="205" t="n"/>
      <c r="P93" s="205" t="n"/>
      <c r="Q93" s="205" t="n"/>
      <c r="R93" s="205" t="n"/>
      <c r="S93" s="205" t="n"/>
      <c r="T93" s="5" t="n"/>
      <c r="V93" s="75" t="n"/>
    </row>
    <row r="94" ht="18" customFormat="1" customHeight="1" s="2">
      <c r="A94" s="188" t="n"/>
      <c r="B94" s="189" t="n"/>
      <c r="C94" s="197" t="n"/>
      <c r="D94" s="189" t="n"/>
      <c r="E94" s="161" t="n"/>
      <c r="F94" s="205" t="n"/>
      <c r="G94" s="205" t="n"/>
      <c r="H94" s="160" t="n"/>
      <c r="I94" s="160" t="n"/>
      <c r="J94" s="160" t="n"/>
      <c r="K94" s="205" t="n"/>
      <c r="L94" s="205" t="n"/>
      <c r="M94" s="142" t="n"/>
      <c r="N94" s="205" t="n"/>
      <c r="O94" s="205" t="n"/>
      <c r="P94" s="205" t="n"/>
      <c r="Q94" s="205" t="n"/>
      <c r="R94" s="205" t="n"/>
      <c r="S94" s="205" t="n"/>
      <c r="T94" s="5" t="n"/>
      <c r="V94" s="75" t="n"/>
      <c r="X94" s="200" t="n"/>
    </row>
    <row r="95" customFormat="1" s="2">
      <c r="A95" s="188" t="n"/>
      <c r="B95" s="189" t="n"/>
      <c r="C95" s="197" t="n"/>
      <c r="D95" s="189" t="n"/>
      <c r="E95" s="161" t="n"/>
      <c r="F95" s="205" t="n"/>
      <c r="G95" s="205" t="n"/>
      <c r="H95" s="160" t="n"/>
      <c r="I95" s="160" t="n"/>
      <c r="J95" s="160" t="n"/>
      <c r="K95" s="205" t="n"/>
      <c r="L95" s="205" t="n"/>
      <c r="M95" s="142" t="n"/>
      <c r="N95" s="205" t="n"/>
      <c r="O95" s="205" t="n"/>
      <c r="P95" s="205" t="n"/>
      <c r="Q95" s="205" t="n"/>
      <c r="R95" s="205" t="n"/>
      <c r="S95" s="205" t="n"/>
      <c r="T95" s="5" t="n"/>
      <c r="V95" s="75" t="n"/>
      <c r="X95" s="200" t="n"/>
    </row>
    <row r="96" ht="18.5" customHeight="1" s="180">
      <c r="A96" s="188" t="n"/>
      <c r="B96" s="189" t="n"/>
      <c r="C96" s="205" t="n"/>
      <c r="D96" s="189" t="n"/>
      <c r="E96" s="161" t="n"/>
      <c r="F96" s="205" t="n"/>
      <c r="G96" s="205" t="n"/>
      <c r="H96" s="160" t="n"/>
      <c r="I96" s="160" t="n"/>
      <c r="J96" s="160" t="n"/>
      <c r="K96" s="205" t="n"/>
      <c r="L96" s="205" t="n"/>
      <c r="M96" s="142" t="n"/>
      <c r="N96" s="205" t="n"/>
      <c r="O96" s="205" t="n"/>
      <c r="P96" s="205" t="n"/>
      <c r="Q96" s="205" t="n"/>
      <c r="R96" s="205" t="n"/>
      <c r="S96" s="205" t="n"/>
      <c r="T96" s="5" t="n"/>
      <c r="U96" s="2" t="n"/>
      <c r="V96" s="75" t="n"/>
      <c r="W96" s="2" t="n"/>
    </row>
    <row r="97" ht="18.5" customHeight="1" s="180">
      <c r="A97" s="188" t="n"/>
      <c r="B97" s="189" t="n"/>
      <c r="C97" s="197" t="n"/>
      <c r="D97" s="189" t="n"/>
      <c r="E97" s="161" t="n"/>
      <c r="F97" s="205" t="n"/>
      <c r="G97" s="205" t="n"/>
      <c r="H97" s="160" t="n"/>
      <c r="I97" s="160" t="n"/>
      <c r="J97" s="160" t="n"/>
      <c r="K97" s="205" t="n"/>
      <c r="L97" s="205" t="n"/>
      <c r="M97" s="142" t="n"/>
      <c r="N97" s="205" t="n"/>
      <c r="O97" s="205" t="n"/>
      <c r="P97" s="205" t="n"/>
      <c r="Q97" s="205" t="n"/>
      <c r="R97" s="205" t="n"/>
      <c r="S97" s="205" t="n"/>
      <c r="T97" s="5" t="n"/>
      <c r="U97" s="141" t="n"/>
      <c r="V97" s="75" t="n"/>
      <c r="W97" s="7" t="n"/>
    </row>
    <row r="98" ht="18.5" customHeight="1" s="180">
      <c r="A98" s="188" t="n"/>
      <c r="B98" s="189" t="n"/>
      <c r="C98" s="205" t="n"/>
      <c r="D98" s="189" t="n"/>
      <c r="E98" s="161" t="n"/>
      <c r="F98" s="205" t="n"/>
      <c r="G98" s="205" t="n"/>
      <c r="H98" s="160" t="n"/>
      <c r="I98" s="160" t="n"/>
      <c r="J98" s="160" t="n"/>
      <c r="K98" s="205" t="n"/>
      <c r="L98" s="205" t="n"/>
      <c r="M98" s="142" t="n"/>
      <c r="N98" s="205" t="n"/>
      <c r="O98" s="205" t="n"/>
      <c r="P98" s="205" t="n"/>
      <c r="Q98" s="205" t="n"/>
      <c r="R98" s="205" t="n"/>
      <c r="S98" s="205" t="n"/>
      <c r="T98" s="5" t="n"/>
      <c r="U98" s="2" t="n"/>
      <c r="V98" s="75" t="n"/>
      <c r="W98" s="2" t="n"/>
    </row>
    <row r="99" ht="18.5" customFormat="1" customHeight="1" s="2">
      <c r="A99" s="188" t="n"/>
      <c r="B99" s="189" t="n"/>
      <c r="C99" s="205" t="n"/>
      <c r="D99" s="189" t="n"/>
      <c r="E99" s="161" t="n"/>
      <c r="F99" s="205" t="n"/>
      <c r="G99" s="205" t="n"/>
      <c r="H99" s="160" t="n"/>
      <c r="I99" s="160" t="n"/>
      <c r="J99" s="160" t="n"/>
      <c r="K99" s="205" t="n"/>
      <c r="L99" s="205" t="n"/>
      <c r="M99" s="142" t="n"/>
      <c r="N99" s="205" t="n"/>
      <c r="O99" s="205" t="n"/>
      <c r="P99" s="205" t="n"/>
      <c r="Q99" s="205" t="n"/>
      <c r="R99" s="205" t="n"/>
      <c r="S99" s="205" t="n"/>
      <c r="T99" s="5" t="n"/>
      <c r="V99" s="75" t="n"/>
      <c r="X99" s="200" t="n"/>
    </row>
    <row r="100" ht="18.5" customFormat="1" customHeight="1" s="2">
      <c r="A100" s="188" t="n"/>
      <c r="B100" s="189" t="n"/>
      <c r="C100" s="197" t="n"/>
      <c r="D100" s="189" t="n"/>
      <c r="E100" s="161" t="n"/>
      <c r="F100" s="205" t="n"/>
      <c r="G100" s="205" t="n"/>
      <c r="H100" s="160" t="n"/>
      <c r="I100" s="160" t="n"/>
      <c r="J100" s="160" t="n"/>
      <c r="K100" s="196" t="n"/>
      <c r="L100" s="205" t="n"/>
      <c r="M100" s="142" t="n"/>
      <c r="N100" s="205" t="n"/>
      <c r="O100" s="205" t="n"/>
      <c r="P100" s="205" t="n"/>
      <c r="Q100" s="205" t="n"/>
      <c r="R100" s="205" t="n"/>
      <c r="S100" s="205" t="n"/>
      <c r="T100" s="5" t="n"/>
      <c r="V100" s="75" t="n"/>
      <c r="X100" s="200" t="n"/>
    </row>
    <row r="101">
      <c r="A101" s="188" t="n"/>
      <c r="B101" s="189" t="n"/>
      <c r="C101" s="197" t="n"/>
      <c r="D101" s="189" t="n"/>
      <c r="E101" s="161" t="n"/>
      <c r="F101" s="205" t="n"/>
      <c r="G101" s="205" t="n"/>
      <c r="H101" s="160" t="n"/>
      <c r="I101" s="160" t="n"/>
      <c r="J101" s="160" t="n"/>
      <c r="K101" s="196" t="n"/>
      <c r="L101" s="205" t="n"/>
      <c r="M101" s="142" t="n"/>
      <c r="N101" s="205" t="n"/>
      <c r="O101" s="205" t="n"/>
      <c r="P101" s="205" t="n"/>
      <c r="Q101" s="205" t="n"/>
      <c r="R101" s="205" t="n"/>
      <c r="S101" s="205" t="n"/>
      <c r="T101" s="5" t="n"/>
      <c r="U101" s="2" t="n"/>
      <c r="V101" s="75" t="n"/>
      <c r="W101" s="2" t="n"/>
    </row>
    <row r="102" ht="18" customHeight="1" s="180">
      <c r="A102" s="188" t="n"/>
      <c r="B102" s="189" t="n"/>
      <c r="C102" s="197" t="n"/>
      <c r="D102" s="189" t="n"/>
      <c r="E102" s="161" t="n"/>
      <c r="F102" s="205" t="n"/>
      <c r="G102" s="205" t="n"/>
      <c r="H102" s="160" t="n"/>
      <c r="I102" s="160" t="n"/>
      <c r="J102" s="160" t="n"/>
      <c r="K102" s="205" t="n"/>
      <c r="L102" s="205" t="n"/>
      <c r="M102" s="142" t="n"/>
      <c r="N102" s="205" t="n"/>
      <c r="O102" s="205" t="n"/>
      <c r="P102" s="205" t="n"/>
      <c r="Q102" s="205" t="n"/>
      <c r="R102" s="205" t="n"/>
      <c r="S102" s="205" t="n"/>
      <c r="T102" s="5" t="n"/>
      <c r="U102" s="2" t="n"/>
      <c r="V102" s="75" t="n"/>
      <c r="W102" s="2" t="n"/>
    </row>
    <row r="103" ht="18.5" customHeight="1" s="180">
      <c r="A103" s="188" t="n"/>
      <c r="B103" s="189" t="n"/>
      <c r="C103" s="197" t="n"/>
      <c r="D103" s="189" t="n"/>
      <c r="E103" s="161" t="n"/>
      <c r="F103" s="205" t="n"/>
      <c r="G103" s="205" t="n"/>
      <c r="H103" s="160" t="n"/>
      <c r="I103" s="160" t="n"/>
      <c r="J103" s="160" t="n"/>
      <c r="K103" s="205" t="n"/>
      <c r="L103" s="205" t="n"/>
      <c r="M103" s="142" t="n"/>
      <c r="N103" s="205" t="n"/>
      <c r="O103" s="205" t="n"/>
      <c r="P103" s="205" t="n"/>
      <c r="Q103" s="205" t="n"/>
      <c r="R103" s="205" t="n"/>
      <c r="S103" s="205" t="n"/>
      <c r="T103" s="5" t="n"/>
      <c r="U103" s="2" t="n"/>
      <c r="V103" s="2" t="n"/>
      <c r="W103" s="2" t="n"/>
    </row>
    <row r="104" ht="18.5" customHeight="1" s="180">
      <c r="A104" s="188" t="n"/>
      <c r="B104" s="189" t="n"/>
      <c r="C104" s="197" t="n"/>
      <c r="D104" s="189" t="n"/>
      <c r="E104" s="161" t="n"/>
      <c r="F104" s="205" t="n"/>
      <c r="G104" s="205" t="n"/>
      <c r="H104" s="160" t="n"/>
      <c r="I104" s="160" t="n"/>
      <c r="J104" s="160" t="n"/>
      <c r="K104" s="205" t="n"/>
      <c r="L104" s="205" t="n"/>
      <c r="M104" s="142" t="n"/>
      <c r="N104" s="205" t="n"/>
      <c r="O104" s="205" t="n"/>
      <c r="P104" s="205" t="n"/>
      <c r="Q104" s="205" t="n"/>
      <c r="R104" s="205" t="n"/>
      <c r="S104" s="205" t="n"/>
      <c r="T104" s="5" t="n"/>
      <c r="U104" s="2" t="n"/>
      <c r="V104" s="2" t="n"/>
      <c r="W104" s="2" t="n"/>
    </row>
    <row r="105" ht="18.5" customFormat="1" customHeight="1" s="2">
      <c r="A105" s="188" t="n"/>
      <c r="B105" s="189" t="n"/>
      <c r="C105" s="197" t="n"/>
      <c r="D105" s="189" t="n"/>
      <c r="E105" s="161" t="n"/>
      <c r="F105" s="205" t="n"/>
      <c r="G105" s="205" t="n"/>
      <c r="H105" s="160" t="n"/>
      <c r="I105" s="160" t="n"/>
      <c r="J105" s="160" t="n"/>
      <c r="K105" s="205" t="n"/>
      <c r="L105" s="205" t="n"/>
      <c r="M105" s="142" t="n"/>
      <c r="N105" s="205" t="n"/>
      <c r="O105" s="205" t="n"/>
      <c r="P105" s="205" t="n"/>
      <c r="Q105" s="205" t="n"/>
      <c r="R105" s="205" t="n"/>
      <c r="S105" s="205" t="n"/>
      <c r="T105" s="5" t="n"/>
      <c r="X105" s="200" t="n"/>
    </row>
    <row r="106" ht="18.5" customFormat="1" customHeight="1" s="2">
      <c r="A106" s="188" t="n"/>
      <c r="B106" s="189" t="n"/>
      <c r="C106" s="197" t="n"/>
      <c r="D106" s="189" t="n"/>
      <c r="E106" s="161" t="n"/>
      <c r="F106" s="205" t="n"/>
      <c r="G106" s="205" t="n"/>
      <c r="H106" s="160" t="n"/>
      <c r="I106" s="160" t="n"/>
      <c r="J106" s="160" t="n"/>
      <c r="K106" s="205" t="n"/>
      <c r="L106" s="205" t="n"/>
      <c r="M106" s="142" t="n"/>
      <c r="N106" s="205" t="n"/>
      <c r="O106" s="205" t="n"/>
      <c r="P106" s="205" t="n"/>
      <c r="Q106" s="205" t="n"/>
      <c r="R106" s="205" t="n"/>
      <c r="S106" s="205" t="n"/>
      <c r="T106" s="5" t="n"/>
      <c r="X106" s="200" t="n"/>
    </row>
    <row r="107" ht="18.5" customFormat="1" customHeight="1" s="73">
      <c r="A107" s="188" t="n"/>
      <c r="B107" s="189" t="n"/>
      <c r="C107" s="197" t="n"/>
      <c r="D107" s="189" t="n"/>
      <c r="E107" s="161" t="n"/>
      <c r="F107" s="205" t="n"/>
      <c r="G107" s="205" t="n"/>
      <c r="H107" s="160" t="n"/>
      <c r="I107" s="160" t="n"/>
      <c r="J107" s="160" t="n"/>
      <c r="K107" s="205" t="n"/>
      <c r="L107" s="205" t="n"/>
      <c r="M107" s="6" t="n"/>
      <c r="N107" s="6" t="n"/>
      <c r="O107" s="205" t="n"/>
      <c r="P107" s="6" t="n"/>
      <c r="Q107" s="6" t="n"/>
      <c r="R107" s="205" t="n"/>
      <c r="S107" s="6" t="n"/>
      <c r="T107" s="145" t="n"/>
      <c r="U107" s="2" t="n"/>
      <c r="V107" s="2" t="n"/>
    </row>
    <row r="108" ht="18.5" customFormat="1" customHeight="1" s="2">
      <c r="A108" s="188" t="n"/>
      <c r="B108" s="189" t="n"/>
      <c r="C108" s="197" t="n"/>
      <c r="D108" s="189" t="n"/>
      <c r="E108" s="161" t="n"/>
      <c r="F108" s="205" t="n"/>
      <c r="G108" s="205" t="n"/>
      <c r="H108" s="160" t="n"/>
      <c r="I108" s="160" t="n"/>
      <c r="J108" s="160" t="n"/>
      <c r="K108" s="205" t="n"/>
      <c r="L108" s="205" t="n"/>
      <c r="M108" s="142" t="n"/>
      <c r="N108" s="205" t="n"/>
      <c r="O108" s="205" t="n"/>
      <c r="P108" s="205" t="n"/>
      <c r="Q108" s="205" t="n"/>
      <c r="R108" s="205" t="n"/>
      <c r="S108" s="205" t="n"/>
      <c r="T108" s="5" t="n"/>
      <c r="X108" s="200" t="n"/>
    </row>
    <row r="109" ht="18.5" customFormat="1" customHeight="1" s="2">
      <c r="A109" s="188" t="n"/>
      <c r="B109" s="189" t="n"/>
      <c r="C109" s="197" t="n"/>
      <c r="D109" s="189" t="n"/>
      <c r="E109" s="161" t="n"/>
      <c r="F109" s="205" t="n"/>
      <c r="G109" s="205" t="n"/>
      <c r="H109" s="160" t="n"/>
      <c r="I109" s="160" t="n"/>
      <c r="J109" s="160" t="n"/>
      <c r="K109" s="205" t="n"/>
      <c r="L109" s="205" t="n"/>
      <c r="M109" s="142" t="n"/>
      <c r="N109" s="205" t="n"/>
      <c r="O109" s="205" t="n"/>
      <c r="P109" s="205" t="n"/>
      <c r="Q109" s="205" t="n"/>
      <c r="R109" s="205" t="n"/>
      <c r="S109" s="205" t="n"/>
      <c r="T109" s="5" t="n"/>
      <c r="X109" s="200" t="n"/>
    </row>
    <row r="110">
      <c r="A110" s="188" t="n"/>
      <c r="B110" s="189" t="n"/>
      <c r="C110" s="197" t="n"/>
      <c r="D110" s="189" t="n"/>
      <c r="E110" s="161" t="n"/>
      <c r="F110" s="205" t="n"/>
      <c r="G110" s="205" t="n"/>
      <c r="H110" s="160" t="n"/>
      <c r="I110" s="160" t="n"/>
      <c r="J110" s="160" t="n"/>
      <c r="K110" s="205" t="n"/>
      <c r="L110" s="205" t="n"/>
      <c r="M110" s="142" t="n"/>
      <c r="N110" s="205" t="n"/>
      <c r="O110" s="205" t="n"/>
      <c r="P110" s="205" t="n"/>
      <c r="Q110" s="205" t="n"/>
      <c r="R110" s="205" t="n"/>
      <c r="S110" s="205" t="n"/>
      <c r="T110" s="5" t="n"/>
      <c r="U110" s="2" t="n"/>
      <c r="V110" s="2" t="n"/>
      <c r="W110" s="2" t="n"/>
    </row>
    <row r="111" ht="18.5" customHeight="1" s="180">
      <c r="A111" s="188" t="n"/>
      <c r="B111" s="189" t="n"/>
      <c r="C111" s="197" t="n"/>
      <c r="D111" s="189" t="n"/>
      <c r="E111" s="161" t="n"/>
      <c r="F111" s="205" t="n"/>
      <c r="G111" s="205" t="n"/>
      <c r="H111" s="160" t="n"/>
      <c r="I111" s="160" t="n"/>
      <c r="J111" s="160" t="n"/>
      <c r="K111" s="205" t="n"/>
      <c r="L111" s="205" t="n"/>
      <c r="M111" s="142" t="n"/>
      <c r="N111" s="205" t="n"/>
      <c r="O111" s="205" t="n"/>
      <c r="P111" s="205" t="n"/>
      <c r="Q111" s="205" t="n"/>
      <c r="R111" s="205" t="n"/>
      <c r="S111" s="205" t="n"/>
      <c r="T111" s="5" t="n"/>
      <c r="U111" s="2" t="n"/>
      <c r="V111" s="2" t="n"/>
      <c r="W111" s="2" t="n"/>
    </row>
    <row r="112" ht="18.5" customHeight="1" s="180">
      <c r="A112" s="188" t="n"/>
      <c r="B112" s="189" t="n"/>
      <c r="C112" s="196" t="n"/>
      <c r="D112" s="189" t="n"/>
      <c r="E112" s="161" t="n"/>
      <c r="F112" s="205" t="n"/>
      <c r="G112" s="205" t="n"/>
      <c r="H112" s="160" t="n"/>
      <c r="I112" s="160" t="n"/>
      <c r="J112" s="160" t="n"/>
      <c r="K112" s="205" t="n"/>
      <c r="L112" s="205" t="n"/>
      <c r="M112" s="142" t="n"/>
      <c r="N112" s="205" t="n"/>
      <c r="O112" s="205" t="n"/>
      <c r="P112" s="205" t="n"/>
      <c r="Q112" s="205" t="n"/>
      <c r="R112" s="205" t="n"/>
      <c r="S112" s="205" t="n"/>
      <c r="T112" s="5" t="n"/>
      <c r="U112" s="2" t="n"/>
      <c r="V112" s="2" t="n"/>
      <c r="W112" s="2" t="n"/>
    </row>
    <row r="113" ht="18.5" customHeight="1" s="180">
      <c r="A113" s="188" t="n"/>
      <c r="B113" s="189" t="n"/>
      <c r="C113" s="196" t="n"/>
      <c r="D113" s="189" t="n"/>
      <c r="E113" s="161" t="n"/>
      <c r="F113" s="205" t="n"/>
      <c r="G113" s="205" t="n"/>
      <c r="H113" s="160" t="n"/>
      <c r="I113" s="160" t="n"/>
      <c r="J113" s="160" t="n"/>
      <c r="K113" s="205" t="n"/>
      <c r="L113" s="205" t="n"/>
      <c r="M113" s="142" t="n"/>
      <c r="N113" s="205" t="n"/>
      <c r="O113" s="205" t="n"/>
      <c r="P113" s="205" t="n"/>
      <c r="Q113" s="205" t="n"/>
      <c r="R113" s="205" t="n"/>
      <c r="S113" s="205" t="n"/>
      <c r="T113" s="5" t="n"/>
      <c r="U113" s="2" t="n"/>
      <c r="V113" s="2" t="n"/>
      <c r="W113" s="2" t="n"/>
    </row>
    <row r="114" ht="18.5" customFormat="1" customHeight="1" s="73">
      <c r="A114" s="188" t="n"/>
      <c r="B114" s="189" t="n"/>
      <c r="C114" s="196" t="n"/>
      <c r="D114" s="189" t="n"/>
      <c r="E114" s="161" t="n"/>
      <c r="F114" s="205" t="n"/>
      <c r="G114" s="205" t="n"/>
      <c r="H114" s="160" t="n"/>
      <c r="I114" s="160" t="n"/>
      <c r="J114" s="160" t="n"/>
      <c r="K114" s="205" t="n"/>
      <c r="L114" s="205" t="n"/>
      <c r="M114" s="142" t="n"/>
      <c r="N114" s="205" t="n"/>
      <c r="O114" s="205" t="n"/>
      <c r="P114" s="205" t="n"/>
      <c r="Q114" s="205" t="n"/>
      <c r="R114" s="205" t="n"/>
      <c r="S114" s="205" t="n"/>
      <c r="T114" s="5" t="n"/>
      <c r="U114" s="2" t="n"/>
      <c r="V114" s="2" t="n"/>
      <c r="W114" s="2" t="n"/>
      <c r="X114" s="200" t="n"/>
    </row>
    <row r="115" ht="18.5" customFormat="1" customHeight="1" s="73">
      <c r="A115" s="188" t="n"/>
      <c r="B115" s="189" t="n"/>
      <c r="C115" s="198" t="n"/>
      <c r="D115" s="189" t="n"/>
      <c r="E115" s="161" t="n"/>
      <c r="F115" s="205" t="n"/>
      <c r="G115" s="205" t="n"/>
      <c r="H115" s="160" t="n"/>
      <c r="I115" s="160" t="n"/>
      <c r="J115" s="160" t="n"/>
      <c r="K115" s="205" t="n"/>
      <c r="L115" s="205" t="n"/>
      <c r="M115" s="142" t="n"/>
      <c r="N115" s="205" t="n"/>
      <c r="O115" s="205" t="n"/>
      <c r="P115" s="205" t="n"/>
      <c r="Q115" s="205" t="n"/>
      <c r="R115" s="205" t="n"/>
      <c r="S115" s="205" t="n"/>
      <c r="T115" s="5" t="n"/>
      <c r="U115" s="2" t="n"/>
      <c r="V115" s="2" t="n"/>
      <c r="W115" s="2" t="n"/>
      <c r="X115" s="200" t="n"/>
    </row>
    <row r="116" ht="18.5" customFormat="1" customHeight="1" s="73">
      <c r="A116" s="188" t="n"/>
      <c r="B116" s="189" t="n"/>
      <c r="C116" s="198" t="n"/>
      <c r="D116" s="189" t="n"/>
      <c r="E116" s="161" t="n"/>
      <c r="F116" s="205" t="n"/>
      <c r="G116" s="205" t="n"/>
      <c r="H116" s="160" t="n"/>
      <c r="I116" s="160" t="n"/>
      <c r="J116" s="160" t="n"/>
      <c r="K116" s="205" t="n"/>
      <c r="L116" s="205" t="n"/>
      <c r="M116" s="142" t="n"/>
      <c r="N116" s="205" t="n"/>
      <c r="O116" s="205" t="n"/>
      <c r="P116" s="205" t="n"/>
      <c r="Q116" s="205" t="n"/>
      <c r="R116" s="205" t="n"/>
      <c r="S116" s="205" t="n"/>
      <c r="T116" s="5" t="n"/>
      <c r="U116" s="2" t="n"/>
      <c r="V116" s="2" t="n"/>
      <c r="W116" s="2" t="n"/>
      <c r="X116" s="200" t="n"/>
    </row>
    <row r="117" ht="18.5" customFormat="1" customHeight="1" s="73">
      <c r="A117" s="188" t="n"/>
      <c r="B117" s="189" t="n"/>
      <c r="C117" s="196" t="n"/>
      <c r="D117" s="189" t="n"/>
      <c r="E117" s="161" t="n"/>
      <c r="F117" s="205" t="n"/>
      <c r="G117" s="205" t="n"/>
      <c r="H117" s="160" t="n"/>
      <c r="I117" s="160" t="n"/>
      <c r="J117" s="160" t="n"/>
      <c r="K117" s="205" t="n"/>
      <c r="L117" s="205" t="n"/>
      <c r="M117" s="142" t="n"/>
      <c r="N117" s="205" t="n"/>
      <c r="O117" s="205" t="n"/>
      <c r="P117" s="205" t="n"/>
      <c r="Q117" s="205" t="n"/>
      <c r="R117" s="205" t="n"/>
      <c r="S117" s="205" t="n"/>
      <c r="T117" s="5" t="n"/>
      <c r="U117" s="2" t="n"/>
      <c r="V117" s="2" t="n"/>
      <c r="W117" s="2" t="n"/>
      <c r="X117" s="200" t="n"/>
    </row>
    <row r="118" ht="18.5" customHeight="1" s="180">
      <c r="A118" s="188" t="n"/>
      <c r="B118" s="189" t="n"/>
      <c r="C118" s="198" t="n"/>
      <c r="D118" s="189" t="n"/>
      <c r="E118" s="161" t="n"/>
      <c r="F118" s="205" t="n"/>
      <c r="G118" s="205" t="n"/>
      <c r="H118" s="160" t="n"/>
      <c r="I118" s="160" t="n"/>
      <c r="J118" s="160" t="n"/>
      <c r="K118" s="205" t="n"/>
      <c r="L118" s="205" t="n"/>
      <c r="M118" s="142" t="n"/>
      <c r="N118" s="205" t="n"/>
      <c r="O118" s="205" t="n"/>
      <c r="P118" s="205" t="n"/>
      <c r="Q118" s="205" t="n"/>
      <c r="R118" s="205" t="n"/>
      <c r="S118" s="205" t="n"/>
      <c r="T118" s="5" t="n"/>
      <c r="U118" s="2" t="n"/>
      <c r="V118" s="2" t="n"/>
      <c r="W118" s="2" t="n"/>
    </row>
    <row r="119" ht="18.5" customHeight="1" s="180">
      <c r="A119" s="188" t="n"/>
      <c r="B119" s="189" t="n"/>
      <c r="C119" s="198" t="n"/>
      <c r="D119" s="189" t="n"/>
      <c r="E119" s="161" t="n"/>
      <c r="F119" s="205" t="n"/>
      <c r="G119" s="205" t="n"/>
      <c r="H119" s="160" t="n"/>
      <c r="I119" s="160" t="n"/>
      <c r="J119" s="160" t="n"/>
      <c r="K119" s="205" t="n"/>
      <c r="L119" s="205" t="n"/>
      <c r="M119" s="142" t="n"/>
      <c r="N119" s="205" t="n"/>
      <c r="O119" s="205" t="n"/>
      <c r="P119" s="205" t="n"/>
      <c r="Q119" s="205" t="n"/>
      <c r="R119" s="205" t="n"/>
      <c r="S119" s="205" t="n"/>
      <c r="T119" s="5" t="n"/>
      <c r="U119" s="2" t="n"/>
      <c r="V119" s="2" t="n"/>
      <c r="W119" s="2" t="n"/>
    </row>
    <row r="120" ht="18.5" customHeight="1" s="180">
      <c r="A120" s="188" t="n"/>
      <c r="B120" s="189" t="n"/>
      <c r="C120" s="198" t="n"/>
      <c r="D120" s="189" t="n"/>
      <c r="E120" s="5" t="n"/>
      <c r="F120" s="205" t="n"/>
      <c r="G120" s="205" t="n"/>
      <c r="H120" s="160" t="n"/>
      <c r="I120" s="160" t="n"/>
      <c r="J120" s="160" t="n"/>
      <c r="K120" s="205" t="n"/>
      <c r="L120" s="205" t="n"/>
      <c r="M120" s="142" t="n"/>
      <c r="N120" s="205" t="n"/>
      <c r="O120" s="205" t="n"/>
      <c r="P120" s="205" t="n"/>
      <c r="Q120" s="205" t="n"/>
      <c r="R120" s="205" t="n"/>
      <c r="S120" s="205" t="n"/>
      <c r="T120" s="5" t="n"/>
      <c r="U120" s="2" t="n"/>
      <c r="V120" s="2" t="n"/>
      <c r="W120" s="2" t="n"/>
    </row>
    <row r="121" ht="18.5" customFormat="1" customHeight="1" s="2">
      <c r="A121" s="188" t="n"/>
      <c r="B121" s="189" t="n"/>
      <c r="C121" s="198" t="n"/>
      <c r="D121" s="189" t="n"/>
      <c r="E121" s="5" t="n"/>
      <c r="F121" s="205" t="n"/>
      <c r="G121" s="205" t="n"/>
      <c r="H121" s="160" t="n"/>
      <c r="I121" s="160" t="n"/>
      <c r="J121" s="160" t="n"/>
      <c r="K121" s="205" t="n"/>
      <c r="L121" s="205" t="n"/>
      <c r="M121" s="142" t="n"/>
      <c r="N121" s="205" t="n"/>
      <c r="O121" s="205" t="n"/>
      <c r="P121" s="205" t="n"/>
      <c r="Q121" s="205" t="n"/>
      <c r="R121" s="205" t="n"/>
      <c r="S121" s="205" t="n"/>
      <c r="T121" s="5" t="n"/>
      <c r="X121" s="200" t="n"/>
    </row>
    <row r="122" ht="18.5" customFormat="1" customHeight="1" s="2">
      <c r="A122" s="188" t="n"/>
      <c r="B122" s="189" t="n"/>
      <c r="C122" s="198" t="n"/>
      <c r="D122" s="189" t="n"/>
      <c r="E122" s="5" t="n"/>
      <c r="F122" s="205" t="n"/>
      <c r="G122" s="205" t="n"/>
      <c r="H122" s="160" t="n"/>
      <c r="I122" s="160" t="n"/>
      <c r="J122" s="160" t="n"/>
      <c r="K122" s="205" t="n"/>
      <c r="L122" s="205" t="n"/>
      <c r="M122" s="142" t="n"/>
      <c r="N122" s="205" t="n"/>
      <c r="O122" s="205" t="n"/>
      <c r="P122" s="205" t="n"/>
      <c r="Q122" s="205" t="n"/>
      <c r="R122" s="205" t="n"/>
      <c r="S122" s="205" t="n"/>
      <c r="T122" s="5" t="n"/>
      <c r="X122" s="200" t="n"/>
    </row>
    <row r="123" ht="18.5" customHeight="1" s="180">
      <c r="A123" s="188" t="n"/>
      <c r="B123" s="189" t="n"/>
      <c r="C123" s="198" t="n"/>
      <c r="D123" s="189" t="n"/>
      <c r="E123" s="5" t="n"/>
      <c r="F123" s="205" t="n"/>
      <c r="G123" s="205" t="n"/>
      <c r="H123" s="160" t="n"/>
      <c r="I123" s="160" t="n"/>
      <c r="J123" s="160" t="n"/>
      <c r="K123" s="205" t="n"/>
      <c r="L123" s="205" t="n"/>
      <c r="M123" s="142" t="n"/>
      <c r="N123" s="205" t="n"/>
      <c r="O123" s="205" t="n"/>
      <c r="P123" s="205" t="n"/>
      <c r="Q123" s="205" t="n"/>
      <c r="R123" s="205" t="n"/>
      <c r="S123" s="205" t="n"/>
      <c r="T123" s="5" t="n"/>
      <c r="U123" s="2" t="n"/>
      <c r="V123" s="2" t="n"/>
      <c r="W123" s="2" t="n"/>
    </row>
    <row r="124" ht="18.5" customHeight="1" s="180">
      <c r="A124" s="188" t="n"/>
      <c r="B124" s="189" t="n"/>
      <c r="C124" s="198" t="n"/>
      <c r="D124" s="189" t="n"/>
      <c r="E124" s="5" t="n"/>
      <c r="F124" s="205" t="n"/>
      <c r="G124" s="205" t="n"/>
      <c r="H124" s="160" t="n"/>
      <c r="I124" s="160" t="n"/>
      <c r="J124" s="160" t="n"/>
      <c r="K124" s="205" t="n"/>
      <c r="L124" s="205" t="n"/>
      <c r="M124" s="142" t="n"/>
      <c r="N124" s="205" t="n"/>
      <c r="O124" s="205" t="n"/>
      <c r="P124" s="205" t="n"/>
      <c r="Q124" s="205" t="n"/>
      <c r="R124" s="205" t="n"/>
      <c r="S124" s="205" t="n"/>
      <c r="T124" s="5" t="n"/>
      <c r="U124" s="2" t="n"/>
      <c r="V124" s="2" t="n"/>
      <c r="W124" s="2" t="n"/>
    </row>
    <row r="125" ht="18.5" customHeight="1" s="180">
      <c r="A125" s="188" t="n"/>
      <c r="B125" s="189" t="n"/>
      <c r="C125" s="198" t="n"/>
      <c r="D125" s="189" t="n"/>
      <c r="E125" s="5" t="n"/>
      <c r="F125" s="205" t="n"/>
      <c r="G125" s="205" t="n"/>
      <c r="H125" s="160" t="n"/>
      <c r="I125" s="160" t="n"/>
      <c r="J125" s="160" t="n"/>
      <c r="K125" s="205" t="n"/>
      <c r="L125" s="205" t="n"/>
      <c r="M125" s="142" t="n"/>
      <c r="N125" s="205" t="n"/>
      <c r="O125" s="205" t="n"/>
      <c r="P125" s="205" t="n"/>
      <c r="Q125" s="205" t="n"/>
      <c r="R125" s="205" t="n"/>
      <c r="S125" s="205" t="n"/>
      <c r="T125" s="5" t="n"/>
      <c r="U125" s="2" t="n"/>
      <c r="V125" s="2" t="n"/>
      <c r="W125" s="2" t="n"/>
    </row>
    <row r="126" ht="18" customHeight="1" s="180">
      <c r="A126" s="188" t="n"/>
      <c r="B126" s="189" t="n"/>
      <c r="C126" s="198" t="n"/>
      <c r="D126" s="189" t="n"/>
      <c r="E126" s="5" t="n"/>
      <c r="F126" s="205" t="n"/>
      <c r="G126" s="205" t="n"/>
      <c r="H126" s="160" t="n"/>
      <c r="I126" s="160" t="n"/>
      <c r="J126" s="160" t="n"/>
      <c r="K126" s="205" t="n"/>
      <c r="L126" s="205" t="n"/>
      <c r="M126" s="142" t="n"/>
      <c r="N126" s="205" t="n"/>
      <c r="O126" s="205" t="n"/>
      <c r="P126" s="205" t="n"/>
      <c r="Q126" s="205" t="n"/>
      <c r="R126" s="205" t="n"/>
      <c r="S126" s="205" t="n"/>
      <c r="T126" s="5" t="n"/>
      <c r="U126" s="2" t="n"/>
      <c r="V126" s="2" t="n"/>
      <c r="W126" s="2" t="n"/>
    </row>
    <row r="127" ht="18" customFormat="1" customHeight="1" s="2">
      <c r="A127" s="188" t="n"/>
      <c r="B127" s="189" t="n"/>
      <c r="C127" s="197" t="n"/>
      <c r="D127" s="189" t="n"/>
      <c r="E127" s="5" t="n"/>
      <c r="F127" s="205" t="n"/>
      <c r="G127" s="205" t="n"/>
      <c r="H127" s="160" t="n"/>
      <c r="I127" s="160" t="n"/>
      <c r="J127" s="160" t="n"/>
      <c r="K127" s="205" t="n"/>
      <c r="L127" s="205" t="n"/>
      <c r="M127" s="142" t="n"/>
      <c r="N127" s="205" t="n"/>
      <c r="O127" s="205" t="n"/>
      <c r="P127" s="205" t="n"/>
      <c r="Q127" s="205" t="n"/>
      <c r="R127" s="205" t="n"/>
      <c r="S127" s="205" t="n"/>
      <c r="T127" s="5" t="n"/>
      <c r="X127" s="200" t="n"/>
    </row>
    <row r="128" ht="18.75" customHeight="1" s="180">
      <c r="A128" s="188" t="n"/>
      <c r="B128" s="189" t="n"/>
      <c r="C128" s="197" t="n"/>
      <c r="D128" s="189" t="n"/>
      <c r="E128" s="5" t="n"/>
      <c r="F128" s="205" t="n"/>
      <c r="G128" s="205" t="n"/>
      <c r="H128" s="160" t="n"/>
      <c r="I128" s="160" t="n"/>
      <c r="J128" s="160" t="n"/>
      <c r="K128" s="205" t="n"/>
      <c r="L128" s="205" t="n"/>
      <c r="M128" s="142" t="n"/>
      <c r="N128" s="205" t="n"/>
      <c r="O128" s="205" t="n"/>
      <c r="P128" s="205" t="n"/>
      <c r="Q128" s="205" t="n"/>
      <c r="R128" s="205" t="n"/>
      <c r="S128" s="205" t="n"/>
      <c r="T128" s="5" t="n"/>
      <c r="U128" s="2" t="n"/>
      <c r="V128" s="2" t="n"/>
      <c r="W128" s="2" t="n"/>
    </row>
    <row r="129" ht="18.75" customHeight="1" s="180">
      <c r="A129" s="188" t="n"/>
      <c r="B129" s="189" t="n"/>
      <c r="C129" s="197" t="n"/>
      <c r="D129" s="189" t="n"/>
      <c r="E129" s="5" t="n"/>
      <c r="F129" s="205" t="n"/>
      <c r="G129" s="205" t="n"/>
      <c r="H129" s="160" t="n"/>
      <c r="I129" s="160" t="n"/>
      <c r="J129" s="160" t="n"/>
      <c r="K129" s="205" t="n"/>
      <c r="L129" s="205" t="n"/>
      <c r="M129" s="142" t="n"/>
      <c r="N129" s="205" t="n"/>
      <c r="O129" s="205" t="n"/>
      <c r="P129" s="205" t="n"/>
      <c r="Q129" s="205" t="n"/>
      <c r="R129" s="205" t="n"/>
      <c r="S129" s="205" t="n"/>
      <c r="T129" s="5" t="n"/>
      <c r="U129" s="2" t="n"/>
      <c r="V129" s="2" t="n"/>
      <c r="W129" s="2" t="n"/>
    </row>
    <row r="130" ht="18.5" customHeight="1" s="180">
      <c r="A130" s="188" t="n"/>
      <c r="B130" s="189" t="n"/>
      <c r="C130" s="198" t="n"/>
      <c r="D130" s="189" t="n"/>
      <c r="E130" s="5" t="n"/>
      <c r="F130" s="196" t="n"/>
      <c r="G130" s="196" t="n"/>
      <c r="H130" s="160" t="n"/>
      <c r="I130" s="160" t="n"/>
      <c r="J130" s="160" t="n"/>
      <c r="K130" s="205" t="n"/>
      <c r="L130" s="205" t="n"/>
      <c r="M130" s="142" t="n"/>
      <c r="N130" s="196" t="n"/>
      <c r="O130" s="196" t="n"/>
      <c r="P130" s="196" t="n"/>
      <c r="Q130" s="196" t="n"/>
      <c r="R130" s="196" t="n"/>
      <c r="S130" s="196" t="n"/>
      <c r="T130" s="123" t="n"/>
    </row>
    <row r="131" ht="18.5" customFormat="1" customHeight="1" s="2">
      <c r="A131" s="188" t="n"/>
      <c r="B131" s="189" t="n"/>
      <c r="C131" s="196" t="n"/>
      <c r="D131" s="189" t="n"/>
      <c r="E131" s="5" t="n"/>
      <c r="F131" s="196" t="n"/>
      <c r="G131" s="196" t="n"/>
      <c r="H131" s="160" t="n"/>
      <c r="I131" s="160" t="n"/>
      <c r="J131" s="160" t="n"/>
      <c r="K131" s="205" t="n"/>
      <c r="L131" s="205" t="n"/>
      <c r="M131" s="142" t="n"/>
      <c r="N131" s="196" t="n"/>
      <c r="O131" s="196" t="n"/>
      <c r="P131" s="196" t="n"/>
      <c r="Q131" s="196" t="n"/>
      <c r="R131" s="196" t="n"/>
      <c r="S131" s="196" t="n"/>
      <c r="T131" s="123" t="n"/>
      <c r="U131" s="200" t="n"/>
      <c r="V131" s="200" t="n"/>
      <c r="W131" s="200" t="n"/>
      <c r="X131" s="200" t="n"/>
    </row>
    <row r="132" ht="18.5" customHeight="1" s="180">
      <c r="A132" s="188" t="n"/>
      <c r="B132" s="189" t="n"/>
      <c r="C132" s="198" t="n"/>
      <c r="D132" s="189" t="n"/>
      <c r="E132" s="5" t="n"/>
      <c r="F132" s="196" t="n"/>
      <c r="G132" s="196" t="n"/>
      <c r="H132" s="160" t="n"/>
      <c r="I132" s="160" t="n"/>
      <c r="J132" s="160" t="n"/>
      <c r="K132" s="205" t="n"/>
      <c r="L132" s="205" t="n"/>
      <c r="M132" s="142" t="n"/>
      <c r="N132" s="196" t="n"/>
      <c r="O132" s="196" t="n"/>
      <c r="P132" s="196" t="n"/>
      <c r="Q132" s="196" t="n"/>
      <c r="R132" s="196" t="n"/>
      <c r="S132" s="196" t="n"/>
      <c r="T132" s="123" t="n"/>
      <c r="U132" s="126" t="n"/>
    </row>
    <row r="133" ht="18.5" customHeight="1" s="180">
      <c r="A133" s="188" t="n"/>
      <c r="B133" s="189" t="n"/>
      <c r="C133" s="196" t="n"/>
      <c r="D133" s="189" t="n"/>
      <c r="E133" s="5" t="n"/>
      <c r="F133" s="196" t="n"/>
      <c r="G133" s="196" t="n"/>
      <c r="H133" s="160" t="n"/>
      <c r="I133" s="160" t="n"/>
      <c r="J133" s="160" t="n"/>
      <c r="K133" s="205" t="n"/>
      <c r="L133" s="205" t="n"/>
      <c r="M133" s="142" t="n"/>
      <c r="N133" s="196" t="n"/>
      <c r="O133" s="196" t="n"/>
      <c r="P133" s="196" t="n"/>
      <c r="Q133" s="196" t="n"/>
      <c r="R133" s="196" t="n"/>
      <c r="S133" s="196" t="n"/>
      <c r="T133" s="123" t="n"/>
    </row>
    <row r="134" ht="18.5" customHeight="1" s="180">
      <c r="A134" s="188" t="n"/>
      <c r="B134" s="189" t="n"/>
      <c r="C134" s="196" t="n"/>
      <c r="D134" s="189" t="n"/>
      <c r="E134" s="5" t="n"/>
      <c r="F134" s="196" t="n"/>
      <c r="G134" s="196" t="n"/>
      <c r="H134" s="160" t="n"/>
      <c r="I134" s="160" t="n"/>
      <c r="J134" s="160" t="n"/>
      <c r="K134" s="205" t="n"/>
      <c r="L134" s="205" t="n"/>
      <c r="M134" s="142" t="n"/>
      <c r="N134" s="196" t="n"/>
      <c r="O134" s="196" t="n"/>
      <c r="P134" s="196" t="n"/>
      <c r="Q134" s="196" t="n"/>
      <c r="R134" s="196" t="n"/>
      <c r="S134" s="196" t="n"/>
      <c r="T134" s="123" t="n"/>
    </row>
    <row r="135" ht="18.5" customHeight="1" s="180">
      <c r="A135" s="188" t="n"/>
      <c r="B135" s="189" t="n"/>
      <c r="C135" s="196" t="n"/>
      <c r="D135" s="189" t="n"/>
      <c r="E135" s="5" t="n"/>
      <c r="F135" s="196" t="n"/>
      <c r="G135" s="196" t="n"/>
      <c r="H135" s="160" t="n"/>
      <c r="I135" s="160" t="n"/>
      <c r="J135" s="160" t="n"/>
      <c r="K135" s="205" t="n"/>
      <c r="L135" s="205" t="n"/>
      <c r="M135" s="142" t="n"/>
      <c r="N135" s="196" t="n"/>
      <c r="O135" s="196" t="n"/>
      <c r="P135" s="196" t="n"/>
      <c r="Q135" s="196" t="n"/>
      <c r="R135" s="196" t="n"/>
      <c r="S135" s="196" t="n"/>
      <c r="T135" s="123" t="n"/>
    </row>
    <row r="136" ht="18.5" customHeight="1" s="180">
      <c r="A136" s="188" t="n"/>
      <c r="B136" s="189" t="n"/>
      <c r="C136" s="196" t="n"/>
      <c r="D136" s="189" t="n"/>
      <c r="E136" s="5" t="n"/>
      <c r="F136" s="196" t="n"/>
      <c r="G136" s="196" t="n"/>
      <c r="H136" s="160" t="n"/>
      <c r="I136" s="160" t="n"/>
      <c r="J136" s="160" t="n"/>
      <c r="K136" s="205" t="n"/>
      <c r="L136" s="205" t="n"/>
      <c r="M136" s="142" t="n"/>
      <c r="N136" s="196" t="n"/>
      <c r="O136" s="196" t="n"/>
      <c r="P136" s="196" t="n"/>
      <c r="Q136" s="196" t="n"/>
      <c r="R136" s="196" t="n"/>
      <c r="S136" s="196" t="n"/>
      <c r="T136" s="123" t="n"/>
    </row>
    <row r="137" ht="18" customFormat="1" customHeight="1" s="2">
      <c r="A137" s="188" t="n"/>
      <c r="B137" s="189" t="n"/>
      <c r="C137" s="198" t="n"/>
      <c r="D137" s="189" t="n"/>
      <c r="E137" s="5" t="n"/>
      <c r="F137" s="196" t="n"/>
      <c r="G137" s="196" t="n"/>
      <c r="H137" s="160" t="n"/>
      <c r="I137" s="160" t="n"/>
      <c r="J137" s="160" t="n"/>
      <c r="K137" s="205" t="n"/>
      <c r="L137" s="205" t="n"/>
      <c r="M137" s="142" t="n"/>
      <c r="N137" s="196" t="n"/>
      <c r="O137" s="196" t="n"/>
      <c r="P137" s="196" t="n"/>
      <c r="Q137" s="196" t="n"/>
      <c r="R137" s="196" t="n"/>
      <c r="S137" s="196" t="n"/>
      <c r="T137" s="123" t="n"/>
      <c r="U137" s="200" t="n"/>
      <c r="V137" s="200" t="n"/>
      <c r="W137" s="200" t="n"/>
      <c r="X137" s="200" t="n"/>
    </row>
    <row r="138" ht="18" customHeight="1" s="180">
      <c r="A138" s="188" t="n"/>
      <c r="B138" s="189" t="n"/>
      <c r="C138" s="198" t="n"/>
      <c r="D138" s="189" t="n"/>
      <c r="E138" s="5" t="n"/>
      <c r="F138" s="196" t="n"/>
      <c r="G138" s="196" t="n"/>
      <c r="H138" s="160" t="n"/>
      <c r="I138" s="160" t="n"/>
      <c r="J138" s="160" t="n"/>
      <c r="K138" s="205" t="n"/>
      <c r="L138" s="205" t="n"/>
      <c r="M138" s="142" t="n"/>
      <c r="N138" s="196" t="n"/>
      <c r="O138" s="196" t="n"/>
      <c r="P138" s="196" t="n"/>
      <c r="Q138" s="196" t="n"/>
      <c r="R138" s="196" t="n"/>
      <c r="S138" s="196" t="n"/>
      <c r="T138" s="123" t="n"/>
    </row>
    <row r="139" ht="18" customHeight="1" s="180">
      <c r="A139" s="188" t="n"/>
      <c r="B139" s="189" t="n"/>
      <c r="C139" s="198" t="n"/>
      <c r="D139" s="189" t="n"/>
      <c r="E139" s="5" t="n"/>
      <c r="F139" s="196" t="n"/>
      <c r="G139" s="196" t="n"/>
      <c r="H139" s="160" t="n"/>
      <c r="I139" s="160" t="n"/>
      <c r="J139" s="160" t="n"/>
      <c r="K139" s="205" t="n"/>
      <c r="L139" s="205" t="n"/>
      <c r="M139" s="142" t="n"/>
      <c r="N139" s="196" t="n"/>
      <c r="O139" s="196" t="n"/>
      <c r="P139" s="196" t="n"/>
      <c r="Q139" s="196" t="n"/>
      <c r="R139" s="196" t="n"/>
      <c r="S139" s="196" t="n"/>
      <c r="T139" s="123" t="n"/>
    </row>
    <row r="140" ht="18" customHeight="1" s="180">
      <c r="A140" s="188" t="n"/>
      <c r="B140" s="189" t="n"/>
      <c r="C140" s="198" t="n"/>
      <c r="D140" s="189" t="n"/>
      <c r="E140" s="5" t="n"/>
      <c r="F140" s="196" t="n"/>
      <c r="G140" s="205" t="n"/>
      <c r="H140" s="160" t="n"/>
      <c r="I140" s="160" t="n"/>
      <c r="J140" s="160" t="n"/>
      <c r="K140" s="205" t="n"/>
      <c r="L140" s="205" t="n"/>
      <c r="M140" s="142" t="n"/>
      <c r="N140" s="196" t="n"/>
      <c r="O140" s="196" t="n"/>
      <c r="P140" s="196" t="n"/>
      <c r="Q140" s="196" t="n"/>
      <c r="R140" s="196" t="n"/>
      <c r="S140" s="196" t="n"/>
      <c r="T140" s="123" t="n"/>
    </row>
    <row r="141" ht="18.5" customFormat="1" customHeight="1" s="2">
      <c r="A141" s="188" t="n"/>
      <c r="B141" s="189" t="n"/>
      <c r="C141" s="196" t="n"/>
      <c r="D141" s="189" t="n"/>
      <c r="E141" s="5" t="n"/>
      <c r="F141" s="196" t="n"/>
      <c r="G141" s="196" t="n"/>
      <c r="H141" s="160" t="n"/>
      <c r="I141" s="160" t="n"/>
      <c r="J141" s="160" t="n"/>
      <c r="K141" s="205" t="n"/>
      <c r="L141" s="205" t="n"/>
      <c r="M141" s="142" t="n"/>
      <c r="N141" s="196" t="n"/>
      <c r="O141" s="196" t="n"/>
      <c r="P141" s="196" t="n"/>
      <c r="Q141" s="196" t="n"/>
      <c r="R141" s="196" t="n"/>
      <c r="S141" s="196" t="n"/>
      <c r="T141" s="123" t="n"/>
      <c r="U141" s="200" t="n"/>
      <c r="V141" s="200" t="n"/>
      <c r="W141" s="200" t="n"/>
      <c r="X141" s="200" t="n"/>
    </row>
    <row r="142" ht="18.5" customHeight="1" s="180">
      <c r="A142" s="192" t="n"/>
      <c r="B142" s="189" t="n"/>
      <c r="C142" s="196" t="n"/>
      <c r="D142" s="189" t="n"/>
      <c r="E142" s="5" t="n"/>
      <c r="F142" s="196" t="n"/>
      <c r="G142" s="196" t="n"/>
      <c r="H142" s="160" t="n"/>
      <c r="I142" s="160" t="n"/>
      <c r="J142" s="160" t="n"/>
      <c r="K142" s="205" t="n"/>
      <c r="L142" s="205" t="n"/>
      <c r="M142" s="142" t="n"/>
      <c r="N142" s="196" t="n"/>
      <c r="O142" s="196" t="n"/>
      <c r="P142" s="196" t="n"/>
      <c r="Q142" s="196" t="n"/>
      <c r="R142" s="196" t="n"/>
      <c r="S142" s="196" t="n"/>
      <c r="T142" s="123" t="n"/>
    </row>
    <row r="143" ht="18.5" customHeight="1" s="180">
      <c r="A143" s="192" t="n"/>
      <c r="B143" s="189" t="n"/>
      <c r="C143" s="198" t="n"/>
      <c r="D143" s="189" t="n"/>
      <c r="E143" s="123" t="n"/>
      <c r="F143" s="196" t="n"/>
      <c r="G143" s="196" t="n"/>
      <c r="H143" s="160" t="n"/>
      <c r="I143" s="160" t="n"/>
      <c r="J143" s="160" t="n"/>
      <c r="K143" s="205" t="n"/>
      <c r="L143" s="205" t="n"/>
      <c r="M143" s="142" t="n"/>
      <c r="N143" s="196" t="n"/>
      <c r="O143" s="196" t="n"/>
      <c r="P143" s="196" t="n"/>
      <c r="Q143" s="196" t="n"/>
      <c r="R143" s="196" t="n"/>
      <c r="S143" s="196" t="n"/>
      <c r="T143" s="123" t="n"/>
    </row>
    <row r="144">
      <c r="A144" s="192" t="n"/>
      <c r="B144" s="189" t="n"/>
      <c r="C144" s="196" t="n"/>
      <c r="D144" s="189" t="n"/>
      <c r="E144" s="123" t="n"/>
      <c r="F144" s="196" t="n"/>
      <c r="G144" s="196" t="n"/>
      <c r="H144" s="160" t="n"/>
      <c r="I144" s="160" t="n"/>
      <c r="J144" s="160" t="n"/>
      <c r="K144" s="205" t="n"/>
      <c r="L144" s="205" t="n"/>
      <c r="M144" s="142" t="n"/>
      <c r="N144" s="196" t="n"/>
      <c r="O144" s="196" t="n"/>
      <c r="P144" s="196" t="n"/>
      <c r="Q144" s="196" t="n"/>
      <c r="R144" s="196" t="n"/>
      <c r="S144" s="196" t="n"/>
      <c r="T144" s="123" t="n"/>
    </row>
    <row r="145">
      <c r="A145" s="192" t="n"/>
      <c r="B145" s="189" t="n"/>
      <c r="C145" s="196" t="n"/>
      <c r="D145" s="189" t="n"/>
      <c r="E145" s="123" t="n"/>
      <c r="F145" s="196" t="n"/>
      <c r="G145" s="196" t="n"/>
      <c r="H145" s="160" t="n"/>
      <c r="I145" s="160" t="n"/>
      <c r="J145" s="160" t="n"/>
      <c r="K145" s="205" t="n"/>
      <c r="L145" s="205" t="n"/>
      <c r="M145" s="142" t="n"/>
      <c r="N145" s="196" t="n"/>
      <c r="O145" s="196" t="n"/>
      <c r="P145" s="196" t="n"/>
      <c r="Q145" s="196" t="n"/>
      <c r="R145" s="196" t="n"/>
      <c r="S145" s="196" t="n"/>
      <c r="T145" s="123" t="n"/>
    </row>
    <row r="146">
      <c r="A146" s="192" t="n"/>
      <c r="B146" s="189" t="n"/>
      <c r="C146" s="196" t="n"/>
      <c r="D146" s="189" t="n"/>
      <c r="E146" s="123" t="n"/>
      <c r="F146" s="196" t="n"/>
      <c r="G146" s="196" t="n"/>
      <c r="H146" s="160" t="n"/>
      <c r="I146" s="160" t="n"/>
      <c r="J146" s="160" t="n"/>
      <c r="K146" s="205" t="n"/>
      <c r="L146" s="205" t="n"/>
      <c r="M146" s="142" t="n"/>
      <c r="N146" s="196" t="n"/>
      <c r="O146" s="196" t="n"/>
      <c r="P146" s="196" t="n"/>
      <c r="Q146" s="196" t="n"/>
      <c r="R146" s="196" t="n"/>
      <c r="S146" s="196" t="n"/>
      <c r="T146" s="123" t="n"/>
    </row>
    <row r="147" ht="18.5" customHeight="1" s="180">
      <c r="A147" s="192" t="n"/>
      <c r="B147" s="189" t="n"/>
      <c r="C147" s="196" t="n"/>
      <c r="D147" s="189" t="n"/>
      <c r="E147" s="123" t="n"/>
      <c r="F147" s="196" t="n"/>
      <c r="G147" s="196" t="n"/>
      <c r="H147" s="160" t="n"/>
      <c r="I147" s="160" t="n"/>
      <c r="J147" s="160" t="n"/>
      <c r="K147" s="205" t="n"/>
      <c r="L147" s="205" t="n"/>
      <c r="M147" s="142" t="n"/>
      <c r="N147" s="196" t="n"/>
      <c r="O147" s="196" t="n"/>
      <c r="P147" s="196" t="n"/>
      <c r="Q147" s="196" t="n"/>
      <c r="R147" s="196" t="n"/>
      <c r="S147" s="196" t="n"/>
      <c r="T147" s="123" t="n"/>
    </row>
    <row r="148" ht="18.5" customHeight="1" s="180">
      <c r="A148" s="192" t="n"/>
      <c r="B148" s="189" t="n"/>
      <c r="C148" s="198" t="n"/>
      <c r="D148" s="189" t="n"/>
      <c r="E148" s="123" t="n"/>
      <c r="F148" s="196" t="n"/>
      <c r="G148" s="196" t="n"/>
      <c r="H148" s="160" t="n"/>
      <c r="I148" s="160" t="n"/>
      <c r="J148" s="160" t="n"/>
      <c r="K148" s="205" t="n"/>
      <c r="L148" s="205" t="n"/>
      <c r="M148" s="142" t="n"/>
      <c r="N148" s="196" t="n"/>
      <c r="O148" s="196" t="n"/>
      <c r="P148" s="196" t="n"/>
      <c r="Q148" s="196" t="n"/>
      <c r="R148" s="196" t="n"/>
      <c r="S148" s="196" t="n"/>
      <c r="T148" s="123" t="n"/>
    </row>
    <row r="149" ht="18.5" customHeight="1" s="180">
      <c r="A149" s="192" t="n"/>
      <c r="B149" s="189" t="n"/>
      <c r="C149" s="198" t="n"/>
      <c r="D149" s="189" t="n"/>
      <c r="E149" s="123" t="n"/>
      <c r="F149" s="196" t="n"/>
      <c r="G149" s="196" t="n"/>
      <c r="H149" s="160" t="n"/>
      <c r="I149" s="160" t="n"/>
      <c r="J149" s="160" t="n"/>
      <c r="K149" s="205" t="n"/>
      <c r="L149" s="205" t="n"/>
      <c r="M149" s="142" t="n"/>
      <c r="N149" s="196" t="n"/>
      <c r="O149" s="196" t="n"/>
      <c r="P149" s="196" t="n"/>
      <c r="Q149" s="196" t="n"/>
      <c r="R149" s="196" t="n"/>
      <c r="S149" s="196" t="n"/>
      <c r="T149" s="123" t="n"/>
    </row>
    <row r="150" ht="18.5" customHeight="1" s="180">
      <c r="A150" s="192" t="n"/>
      <c r="B150" s="189" t="n"/>
      <c r="C150" s="198" t="n"/>
      <c r="D150" s="189" t="n"/>
      <c r="E150" s="123" t="n"/>
      <c r="F150" s="196" t="n"/>
      <c r="G150" s="196" t="n"/>
      <c r="H150" s="160" t="n"/>
      <c r="I150" s="160" t="n"/>
      <c r="J150" s="160" t="n"/>
      <c r="K150" s="205" t="n"/>
      <c r="L150" s="205" t="n"/>
      <c r="M150" s="142" t="n"/>
      <c r="N150" s="196" t="n"/>
      <c r="O150" s="196" t="n"/>
      <c r="P150" s="196" t="n"/>
      <c r="Q150" s="196" t="n"/>
      <c r="R150" s="196" t="n"/>
      <c r="S150" s="196" t="n"/>
      <c r="T150" s="123" t="n"/>
    </row>
    <row r="151" ht="18.5" customFormat="1" customHeight="1" s="73">
      <c r="A151" s="192" t="n"/>
      <c r="B151" s="189" t="n"/>
      <c r="C151" s="198" t="n"/>
      <c r="D151" s="189" t="n"/>
      <c r="E151" s="123" t="n"/>
      <c r="F151" s="123" t="n"/>
      <c r="G151" s="196" t="n"/>
      <c r="H151" s="160" t="n"/>
      <c r="I151" s="160" t="n"/>
      <c r="J151" s="160" t="n"/>
      <c r="K151" s="205" t="n"/>
      <c r="L151" s="205" t="n"/>
      <c r="M151" s="142" t="n"/>
      <c r="N151" s="196" t="n"/>
      <c r="O151" s="196" t="n"/>
      <c r="P151" s="196" t="n"/>
      <c r="Q151" s="196" t="n"/>
      <c r="R151" s="196" t="n"/>
      <c r="S151" s="196" t="n"/>
      <c r="T151" s="123" t="n"/>
      <c r="U151" s="200" t="n"/>
      <c r="V151" s="200" t="n"/>
      <c r="W151" s="200" t="n"/>
      <c r="X151" s="200" t="n"/>
    </row>
    <row r="152" ht="18.5" customFormat="1" customHeight="1" s="73">
      <c r="A152" s="192" t="n"/>
      <c r="B152" s="189" t="n"/>
      <c r="C152" s="198" t="n"/>
      <c r="D152" s="189" t="n"/>
      <c r="E152" s="123" t="n"/>
      <c r="F152" s="123" t="n"/>
      <c r="G152" s="196" t="n"/>
      <c r="H152" s="160" t="n"/>
      <c r="I152" s="160" t="n"/>
      <c r="J152" s="160" t="n"/>
      <c r="K152" s="205" t="n"/>
      <c r="L152" s="205" t="n"/>
      <c r="M152" s="142" t="n"/>
      <c r="N152" s="196" t="n"/>
      <c r="O152" s="196" t="n"/>
      <c r="P152" s="196" t="n"/>
      <c r="Q152" s="196" t="n"/>
      <c r="R152" s="196" t="n"/>
      <c r="S152" s="196" t="n"/>
      <c r="T152" s="123" t="n"/>
      <c r="U152" s="200" t="n"/>
      <c r="V152" s="200" t="n"/>
      <c r="W152" s="200" t="n"/>
      <c r="X152" s="200" t="n"/>
    </row>
    <row r="153" ht="18.5" customFormat="1" customHeight="1" s="73">
      <c r="A153" s="192" t="n"/>
      <c r="B153" s="189" t="n"/>
      <c r="C153" s="198" t="n"/>
      <c r="D153" s="189" t="n"/>
      <c r="E153" s="123" t="n"/>
      <c r="F153" s="123" t="n"/>
      <c r="G153" s="196" t="n"/>
      <c r="H153" s="160" t="n"/>
      <c r="I153" s="160" t="n"/>
      <c r="J153" s="160" t="n"/>
      <c r="K153" s="205" t="n"/>
      <c r="L153" s="205" t="n"/>
      <c r="M153" s="142" t="n"/>
      <c r="N153" s="196" t="n"/>
      <c r="O153" s="196" t="n"/>
      <c r="P153" s="196" t="n"/>
      <c r="Q153" s="196" t="n"/>
      <c r="R153" s="196" t="n"/>
      <c r="S153" s="196" t="n"/>
      <c r="T153" s="123" t="n"/>
      <c r="U153" s="200" t="n"/>
      <c r="V153" s="200" t="n"/>
      <c r="W153" s="200" t="n"/>
      <c r="X153" s="200" t="n"/>
    </row>
    <row r="154" ht="18.5" customFormat="1" customHeight="1" s="73">
      <c r="A154" s="192" t="n"/>
      <c r="B154" s="189" t="n"/>
      <c r="C154" s="198" t="n"/>
      <c r="D154" s="189" t="n"/>
      <c r="E154" s="123" t="n"/>
      <c r="F154" s="123" t="n"/>
      <c r="G154" s="196" t="n"/>
      <c r="H154" s="160" t="n"/>
      <c r="I154" s="160" t="n"/>
      <c r="J154" s="160" t="n"/>
      <c r="K154" s="205" t="n"/>
      <c r="L154" s="205" t="n"/>
      <c r="M154" s="142" t="n"/>
      <c r="N154" s="196" t="n"/>
      <c r="O154" s="196" t="n"/>
      <c r="P154" s="196" t="n"/>
      <c r="Q154" s="196" t="n"/>
      <c r="R154" s="196" t="n"/>
      <c r="S154" s="196" t="n"/>
      <c r="T154" s="123" t="n"/>
      <c r="U154" s="200" t="n"/>
      <c r="V154" s="200" t="n"/>
      <c r="W154" s="200" t="n"/>
      <c r="X154" s="200" t="n"/>
    </row>
    <row r="155" ht="18.5" customFormat="1" customHeight="1" s="73">
      <c r="A155" s="192" t="n"/>
      <c r="B155" s="189" t="n"/>
      <c r="C155" s="196" t="n"/>
      <c r="D155" s="189" t="n"/>
      <c r="E155" s="123" t="n"/>
      <c r="F155" s="123" t="n"/>
      <c r="G155" s="196" t="n"/>
      <c r="H155" s="160" t="n"/>
      <c r="I155" s="160" t="n"/>
      <c r="J155" s="160" t="n"/>
      <c r="K155" s="205" t="n"/>
      <c r="L155" s="205" t="n"/>
      <c r="M155" s="142" t="n"/>
      <c r="N155" s="196" t="n"/>
      <c r="O155" s="196" t="n"/>
      <c r="P155" s="196" t="n"/>
      <c r="Q155" s="196" t="n"/>
      <c r="R155" s="196" t="n"/>
      <c r="S155" s="196" t="n"/>
      <c r="T155" s="123" t="n"/>
      <c r="U155" s="200" t="n"/>
      <c r="V155" s="200" t="n"/>
      <c r="W155" s="200" t="n"/>
      <c r="X155" s="200" t="n"/>
    </row>
    <row r="156" ht="18.5" customFormat="1" customHeight="1" s="73">
      <c r="A156" s="192" t="n"/>
      <c r="B156" s="189" t="n"/>
      <c r="C156" s="198" t="n"/>
      <c r="D156" s="189" t="n"/>
      <c r="E156" s="123" t="n"/>
      <c r="F156" s="196" t="n"/>
      <c r="G156" s="196" t="n"/>
      <c r="H156" s="160" t="n"/>
      <c r="I156" s="160" t="n"/>
      <c r="J156" s="160" t="n"/>
      <c r="K156" s="205" t="n"/>
      <c r="L156" s="205" t="n"/>
      <c r="M156" s="142" t="n"/>
      <c r="N156" s="196" t="n"/>
      <c r="O156" s="196" t="n"/>
      <c r="P156" s="196" t="n"/>
      <c r="Q156" s="196" t="n"/>
      <c r="R156" s="196" t="n"/>
      <c r="S156" s="196" t="n"/>
      <c r="T156" s="123" t="n"/>
      <c r="U156" s="200" t="n"/>
      <c r="V156" s="200" t="n"/>
      <c r="W156" s="200" t="n"/>
      <c r="X156" s="200" t="n"/>
    </row>
    <row r="157" ht="18.5" customHeight="1" s="180">
      <c r="A157" s="192" t="n"/>
      <c r="B157" s="189" t="n"/>
      <c r="C157" s="198" t="n"/>
      <c r="D157" s="189" t="n"/>
      <c r="E157" s="123" t="n"/>
      <c r="F157" s="196" t="n"/>
      <c r="G157" s="196" t="n"/>
      <c r="H157" s="160" t="n"/>
      <c r="I157" s="160" t="n"/>
      <c r="J157" s="160" t="n"/>
      <c r="K157" s="205" t="n"/>
      <c r="L157" s="205" t="n"/>
      <c r="M157" s="142" t="n"/>
      <c r="N157" s="196" t="n"/>
      <c r="O157" s="196" t="n"/>
      <c r="P157" s="196" t="n"/>
      <c r="Q157" s="196" t="n"/>
      <c r="R157" s="196" t="n"/>
      <c r="S157" s="196" t="n"/>
      <c r="T157" s="123" t="n"/>
    </row>
    <row r="158" ht="18.5" customHeight="1" s="180">
      <c r="A158" s="190" t="n"/>
      <c r="B158" s="191" t="n"/>
      <c r="C158" s="198" t="n"/>
      <c r="D158" s="189" t="n"/>
      <c r="E158" s="123" t="n"/>
      <c r="F158" s="196" t="n"/>
      <c r="G158" s="196" t="n"/>
      <c r="H158" s="160" t="n"/>
      <c r="I158" s="160" t="n"/>
      <c r="J158" s="160" t="n"/>
      <c r="K158" s="205" t="n"/>
      <c r="L158" s="205" t="n"/>
      <c r="M158" s="142" t="n"/>
      <c r="N158" s="196" t="n"/>
      <c r="O158" s="196" t="n"/>
      <c r="P158" s="196" t="n"/>
      <c r="Q158" s="196" t="n"/>
      <c r="R158" s="196" t="n"/>
      <c r="S158" s="196" t="n"/>
      <c r="T158" s="123" t="n"/>
    </row>
    <row r="159" ht="18.5" customHeight="1" s="180">
      <c r="A159" s="190" t="n"/>
      <c r="B159" s="191" t="n"/>
      <c r="C159" s="198" t="n"/>
      <c r="D159" s="189" t="n"/>
      <c r="E159" s="123" t="n"/>
      <c r="F159" s="196" t="n"/>
      <c r="G159" s="196" t="n"/>
      <c r="H159" s="160" t="n"/>
      <c r="I159" s="160" t="n"/>
      <c r="J159" s="160" t="n"/>
      <c r="K159" s="205" t="n"/>
      <c r="L159" s="205" t="n"/>
      <c r="M159" s="142" t="n"/>
      <c r="N159" s="196" t="n"/>
      <c r="O159" s="196" t="n"/>
      <c r="P159" s="196" t="n"/>
      <c r="Q159" s="196" t="n"/>
      <c r="R159" s="196" t="n"/>
      <c r="S159" s="196" t="n"/>
      <c r="T159" s="123" t="n"/>
    </row>
    <row r="160" ht="18.5" customHeight="1" s="180">
      <c r="A160" s="190" t="n"/>
      <c r="B160" s="191" t="n"/>
      <c r="C160" s="198" t="n"/>
      <c r="D160" s="189" t="n"/>
      <c r="E160" s="123" t="n"/>
      <c r="F160" s="196" t="n"/>
      <c r="G160" s="196" t="n"/>
      <c r="H160" s="160" t="n"/>
      <c r="I160" s="160" t="n"/>
      <c r="J160" s="160" t="n"/>
      <c r="K160" s="205" t="n"/>
      <c r="L160" s="205" t="n"/>
      <c r="M160" s="142" t="n"/>
      <c r="N160" s="196" t="n"/>
      <c r="O160" s="196" t="n"/>
      <c r="P160" s="196" t="n"/>
      <c r="Q160" s="196" t="n"/>
      <c r="R160" s="196" t="n"/>
      <c r="S160" s="196" t="n"/>
      <c r="T160" s="123" t="n"/>
    </row>
    <row r="161" ht="18.5" customHeight="1" s="180">
      <c r="A161" s="190" t="n"/>
      <c r="B161" s="191" t="n"/>
      <c r="C161" s="198" t="n"/>
      <c r="D161" s="189" t="n"/>
      <c r="E161" s="123" t="n"/>
      <c r="F161" s="196" t="n"/>
      <c r="G161" s="196" t="n"/>
      <c r="H161" s="160" t="n"/>
      <c r="I161" s="160" t="n"/>
      <c r="J161" s="160" t="n"/>
      <c r="K161" s="205" t="n"/>
      <c r="L161" s="205" t="n"/>
      <c r="M161" s="142" t="n"/>
      <c r="N161" s="196" t="n"/>
      <c r="O161" s="196" t="n"/>
      <c r="P161" s="196" t="n"/>
      <c r="Q161" s="196" t="n"/>
      <c r="R161" s="196" t="n"/>
      <c r="S161" s="196" t="n"/>
      <c r="T161" s="123" t="n"/>
    </row>
    <row r="162" ht="18.5" customHeight="1" s="180">
      <c r="A162" s="190" t="n"/>
      <c r="B162" s="191" t="n"/>
      <c r="C162" s="198" t="n"/>
      <c r="D162" s="189" t="n"/>
      <c r="E162" s="123" t="n"/>
      <c r="F162" s="196" t="n"/>
      <c r="G162" s="196" t="n"/>
      <c r="H162" s="160" t="n"/>
      <c r="I162" s="160" t="n"/>
      <c r="J162" s="160" t="n"/>
      <c r="K162" s="205" t="n"/>
      <c r="L162" s="205" t="n"/>
      <c r="M162" s="142" t="n"/>
      <c r="N162" s="196" t="n"/>
      <c r="O162" s="196" t="n"/>
      <c r="P162" s="196" t="n"/>
      <c r="Q162" s="196" t="n"/>
      <c r="R162" s="196" t="n"/>
      <c r="S162" s="196" t="n"/>
      <c r="T162" s="123" t="n"/>
    </row>
    <row r="163" ht="18.75" customFormat="1" customHeight="1" s="73">
      <c r="A163" s="190" t="n"/>
      <c r="B163" s="191" t="n"/>
      <c r="C163" s="198" t="n"/>
      <c r="D163" s="189" t="n"/>
      <c r="E163" s="123" t="n"/>
      <c r="F163" s="196" t="n"/>
      <c r="G163" s="196" t="n"/>
      <c r="H163" s="160" t="n"/>
      <c r="I163" s="160" t="n"/>
      <c r="J163" s="160" t="n"/>
      <c r="K163" s="205" t="n"/>
      <c r="L163" s="205" t="n"/>
      <c r="M163" s="142" t="n"/>
      <c r="N163" s="196" t="n"/>
      <c r="O163" s="196" t="n"/>
      <c r="P163" s="196" t="n"/>
      <c r="Q163" s="196" t="n"/>
      <c r="R163" s="196" t="n"/>
      <c r="S163" s="196" t="n"/>
      <c r="T163" s="123" t="n"/>
      <c r="U163" s="200" t="n"/>
      <c r="V163" s="200" t="n"/>
      <c r="W163" s="200" t="n"/>
      <c r="X163" s="200" t="n"/>
    </row>
    <row r="164" ht="18.5" customFormat="1" customHeight="1" s="2">
      <c r="A164" s="190" t="n"/>
      <c r="B164" s="191" t="n"/>
      <c r="C164" s="198" t="n"/>
      <c r="D164" s="189" t="n"/>
      <c r="E164" s="123" t="n"/>
      <c r="F164" s="196" t="n"/>
      <c r="G164" s="196" t="n"/>
      <c r="H164" s="160" t="n"/>
      <c r="I164" s="160" t="n"/>
      <c r="J164" s="160" t="n"/>
      <c r="K164" s="205" t="n"/>
      <c r="L164" s="205" t="n"/>
      <c r="M164" s="142" t="n"/>
      <c r="N164" s="196" t="n"/>
      <c r="O164" s="196" t="n"/>
      <c r="P164" s="196" t="n"/>
      <c r="Q164" s="196" t="n"/>
      <c r="R164" s="196" t="n"/>
      <c r="S164" s="196" t="n"/>
      <c r="T164" s="123" t="n"/>
      <c r="U164" s="200" t="n"/>
      <c r="V164" s="200" t="n"/>
      <c r="W164" s="200" t="n"/>
      <c r="X164" s="200" t="n"/>
    </row>
    <row r="165" ht="18.5" customFormat="1" customHeight="1" s="2">
      <c r="A165" s="190" t="n"/>
      <c r="B165" s="191" t="n"/>
      <c r="C165" s="198" t="n"/>
      <c r="D165" s="189" t="n"/>
      <c r="E165" s="123" t="n"/>
      <c r="F165" s="196" t="n"/>
      <c r="G165" s="196" t="n"/>
      <c r="H165" s="160" t="n"/>
      <c r="I165" s="160" t="n"/>
      <c r="J165" s="160" t="n"/>
      <c r="K165" s="205" t="n"/>
      <c r="L165" s="205" t="n"/>
      <c r="M165" s="142" t="n"/>
      <c r="N165" s="196" t="n"/>
      <c r="O165" s="196" t="n"/>
      <c r="P165" s="196" t="n"/>
      <c r="Q165" s="196" t="n"/>
      <c r="R165" s="196" t="n"/>
      <c r="S165" s="196" t="n"/>
      <c r="T165" s="123" t="n"/>
      <c r="U165" s="200" t="n"/>
      <c r="V165" s="200" t="n"/>
      <c r="W165" s="200" t="n"/>
      <c r="X165" s="200" t="n"/>
    </row>
    <row r="166" ht="18.5" customFormat="1" customHeight="1" s="2">
      <c r="A166" s="190" t="n"/>
      <c r="B166" s="191" t="n"/>
      <c r="C166" s="198" t="n"/>
      <c r="D166" s="189" t="n"/>
      <c r="E166" s="123" t="n"/>
      <c r="F166" s="196" t="n"/>
      <c r="G166" s="196" t="n"/>
      <c r="H166" s="160" t="n"/>
      <c r="I166" s="160" t="n"/>
      <c r="J166" s="160" t="n"/>
      <c r="K166" s="205" t="n"/>
      <c r="L166" s="205" t="n"/>
      <c r="M166" s="142" t="n"/>
      <c r="N166" s="196" t="n"/>
      <c r="O166" s="196" t="n"/>
      <c r="P166" s="196" t="n"/>
      <c r="Q166" s="196" t="n"/>
      <c r="R166" s="196" t="n"/>
      <c r="S166" s="196" t="n"/>
      <c r="T166" s="123" t="n"/>
      <c r="U166" s="200" t="n"/>
      <c r="V166" s="200" t="n"/>
      <c r="W166" s="200" t="n"/>
      <c r="X166" s="200" t="n"/>
    </row>
    <row r="167" ht="18.5" customHeight="1" s="180">
      <c r="A167" s="190" t="n"/>
      <c r="B167" s="191" t="n"/>
      <c r="C167" s="196" t="n"/>
      <c r="D167" s="189" t="n"/>
      <c r="E167" s="123" t="n"/>
      <c r="F167" s="196" t="n"/>
      <c r="G167" s="196" t="n"/>
      <c r="H167" s="160" t="n"/>
      <c r="I167" s="160" t="n"/>
      <c r="J167" s="160" t="n"/>
      <c r="K167" s="205" t="n"/>
      <c r="L167" s="205" t="n"/>
      <c r="M167" s="142" t="n"/>
      <c r="N167" s="196" t="n"/>
      <c r="O167" s="196" t="n"/>
      <c r="P167" s="196" t="n"/>
      <c r="Q167" s="196" t="n"/>
      <c r="R167" s="196" t="n"/>
      <c r="S167" s="196" t="n"/>
      <c r="T167" s="123" t="n"/>
    </row>
    <row r="168" ht="18.5" customHeight="1" s="180">
      <c r="A168" s="190" t="n"/>
      <c r="B168" s="191" t="n"/>
      <c r="C168" s="196" t="n"/>
      <c r="D168" s="189" t="n"/>
      <c r="E168" s="123" t="n"/>
      <c r="F168" s="196" t="n"/>
      <c r="G168" s="196" t="n"/>
      <c r="H168" s="160" t="n"/>
      <c r="I168" s="160" t="n"/>
      <c r="J168" s="160" t="n"/>
      <c r="K168" s="205" t="n"/>
      <c r="L168" s="205" t="n"/>
      <c r="M168" s="142" t="n"/>
      <c r="N168" s="196" t="n"/>
      <c r="O168" s="196" t="n"/>
      <c r="P168" s="196" t="n"/>
      <c r="Q168" s="196" t="n"/>
      <c r="R168" s="196" t="n"/>
      <c r="S168" s="196" t="n"/>
      <c r="T168" s="123" t="n"/>
    </row>
    <row r="169" ht="18.5" customHeight="1" s="180">
      <c r="A169" s="190" t="n"/>
      <c r="B169" s="191" t="n"/>
      <c r="C169" s="196" t="n"/>
      <c r="D169" s="189" t="n"/>
      <c r="E169" s="123" t="n"/>
      <c r="F169" s="196" t="n"/>
      <c r="G169" s="196" t="n"/>
      <c r="H169" s="160" t="n"/>
      <c r="I169" s="160" t="n"/>
      <c r="J169" s="160" t="n"/>
      <c r="K169" s="205" t="n"/>
      <c r="L169" s="205" t="n"/>
      <c r="M169" s="142" t="n"/>
      <c r="N169" s="196" t="n"/>
      <c r="O169" s="196" t="n"/>
      <c r="P169" s="196" t="n"/>
      <c r="Q169" s="196" t="n"/>
      <c r="R169" s="196" t="n"/>
      <c r="S169" s="196" t="n"/>
      <c r="T169" s="123" t="n"/>
    </row>
    <row r="170" ht="18.5" customHeight="1" s="180">
      <c r="A170" s="190" t="n"/>
      <c r="B170" s="191" t="n"/>
      <c r="C170" s="198" t="n"/>
      <c r="D170" s="189" t="n"/>
      <c r="E170" s="123" t="n"/>
      <c r="F170" s="196" t="n"/>
      <c r="G170" s="196" t="n"/>
      <c r="H170" s="160" t="n"/>
      <c r="I170" s="160" t="n"/>
      <c r="J170" s="160" t="n"/>
      <c r="K170" s="205" t="n"/>
      <c r="L170" s="205" t="n"/>
      <c r="M170" s="142" t="n"/>
      <c r="N170" s="196" t="n"/>
      <c r="O170" s="196" t="n"/>
      <c r="P170" s="196" t="n"/>
      <c r="Q170" s="196" t="n"/>
      <c r="R170" s="196" t="n"/>
      <c r="S170" s="196" t="n"/>
      <c r="T170" s="123" t="n"/>
    </row>
    <row r="171" ht="18.5" customHeight="1" s="180">
      <c r="A171" s="190" t="n"/>
      <c r="B171" s="191" t="n"/>
      <c r="C171" s="198" t="n"/>
      <c r="D171" s="189" t="n"/>
      <c r="E171" s="123" t="n"/>
      <c r="F171" s="123" t="n"/>
      <c r="G171" s="196" t="n"/>
      <c r="H171" s="160" t="n"/>
      <c r="I171" s="160" t="n"/>
      <c r="J171" s="160" t="n"/>
      <c r="K171" s="205" t="n"/>
      <c r="L171" s="205" t="n"/>
      <c r="M171" s="142" t="n"/>
      <c r="N171" s="196" t="n"/>
      <c r="O171" s="196" t="n"/>
      <c r="P171" s="196" t="n"/>
      <c r="Q171" s="196" t="n"/>
      <c r="R171" s="196" t="n"/>
      <c r="S171" s="196" t="n"/>
      <c r="T171" s="123" t="n"/>
    </row>
    <row r="172" ht="18.5" customFormat="1" customHeight="1" s="2">
      <c r="A172" s="190" t="n"/>
      <c r="B172" s="191" t="n"/>
      <c r="C172" s="198" t="n"/>
      <c r="D172" s="189" t="n"/>
      <c r="E172" s="123" t="n"/>
      <c r="F172" s="196" t="n"/>
      <c r="G172" s="196" t="n"/>
      <c r="H172" s="160" t="n"/>
      <c r="I172" s="160" t="n"/>
      <c r="J172" s="160" t="n"/>
      <c r="K172" s="205" t="n"/>
      <c r="L172" s="205" t="n"/>
      <c r="M172" s="142" t="n"/>
      <c r="N172" s="196" t="n"/>
      <c r="O172" s="196" t="n"/>
      <c r="P172" s="196" t="n"/>
      <c r="Q172" s="196" t="n"/>
      <c r="R172" s="196" t="n"/>
      <c r="S172" s="196" t="n"/>
      <c r="T172" s="123" t="n"/>
      <c r="U172" s="200" t="n"/>
      <c r="V172" s="200" t="n"/>
      <c r="W172" s="200" t="n"/>
      <c r="X172" s="200" t="n"/>
    </row>
    <row r="173" ht="18.5" customHeight="1" s="180">
      <c r="A173" s="190" t="n"/>
      <c r="B173" s="191" t="n"/>
      <c r="C173" s="198" t="n"/>
      <c r="D173" s="189" t="n"/>
      <c r="E173" s="123" t="n"/>
      <c r="F173" s="196" t="n"/>
      <c r="G173" s="196" t="n"/>
      <c r="H173" s="160" t="n"/>
      <c r="I173" s="160" t="n"/>
      <c r="J173" s="160" t="n"/>
      <c r="K173" s="205" t="n"/>
      <c r="L173" s="205" t="n"/>
      <c r="M173" s="142" t="n"/>
      <c r="N173" s="196" t="n"/>
      <c r="O173" s="196" t="n"/>
      <c r="P173" s="196" t="n"/>
      <c r="Q173" s="196" t="n"/>
      <c r="R173" s="196" t="n"/>
      <c r="S173" s="196" t="n"/>
      <c r="T173" s="123" t="n"/>
    </row>
    <row r="174" ht="18.5" customFormat="1" customHeight="1" s="2">
      <c r="A174" s="190" t="n"/>
      <c r="B174" s="191" t="n"/>
      <c r="C174" s="198" t="n"/>
      <c r="D174" s="189" t="n"/>
      <c r="E174" s="123" t="n"/>
      <c r="F174" s="196" t="n"/>
      <c r="G174" s="196" t="n"/>
      <c r="H174" s="160" t="n"/>
      <c r="I174" s="160" t="n"/>
      <c r="J174" s="160" t="n"/>
      <c r="K174" s="205" t="n"/>
      <c r="L174" s="205" t="n"/>
      <c r="M174" s="142" t="n"/>
      <c r="N174" s="196" t="n"/>
      <c r="O174" s="196" t="n"/>
      <c r="P174" s="196" t="n"/>
      <c r="Q174" s="196" t="n"/>
      <c r="R174" s="196" t="n"/>
      <c r="S174" s="196" t="n"/>
      <c r="T174" s="123" t="n"/>
      <c r="U174" s="200" t="n"/>
      <c r="V174" s="200" t="n"/>
      <c r="W174" s="200" t="n"/>
      <c r="X174" s="200" t="n"/>
    </row>
    <row r="175" ht="18.5" customFormat="1" customHeight="1" s="73">
      <c r="A175" s="190" t="n"/>
      <c r="B175" s="191" t="n"/>
      <c r="C175" s="198" t="n"/>
      <c r="D175" s="189" t="n"/>
      <c r="E175" s="123" t="n"/>
      <c r="F175" s="196" t="n"/>
      <c r="G175" s="196" t="n"/>
      <c r="H175" s="160" t="n"/>
      <c r="I175" s="160" t="n"/>
      <c r="J175" s="160" t="n"/>
      <c r="K175" s="205" t="n"/>
      <c r="L175" s="205" t="n"/>
      <c r="M175" s="142" t="n"/>
      <c r="N175" s="196" t="n"/>
      <c r="O175" s="196" t="n"/>
      <c r="P175" s="196" t="n"/>
      <c r="Q175" s="196" t="n"/>
      <c r="R175" s="196" t="n"/>
      <c r="S175" s="196" t="n"/>
      <c r="T175" s="123" t="n"/>
      <c r="U175" s="200" t="n"/>
      <c r="V175" s="200" t="n"/>
      <c r="W175" s="200" t="n"/>
      <c r="X175" s="200" t="n"/>
    </row>
    <row r="176" ht="18.5" customHeight="1" s="180">
      <c r="A176" s="190" t="n"/>
      <c r="B176" s="191" t="n"/>
      <c r="C176" s="198" t="n"/>
      <c r="D176" s="189" t="n"/>
      <c r="E176" s="123" t="n"/>
      <c r="F176" s="196" t="n"/>
      <c r="G176" s="196" t="n"/>
      <c r="H176" s="160" t="n"/>
      <c r="I176" s="160" t="n"/>
      <c r="J176" s="160" t="n"/>
      <c r="K176" s="205" t="n"/>
      <c r="L176" s="205" t="n"/>
      <c r="M176" s="142" t="n"/>
      <c r="N176" s="196" t="n"/>
      <c r="O176" s="196" t="n"/>
      <c r="P176" s="196" t="n"/>
      <c r="Q176" s="196" t="n"/>
      <c r="R176" s="196" t="n"/>
      <c r="S176" s="196" t="n"/>
      <c r="T176" s="123" t="n"/>
    </row>
    <row r="177" ht="18.5" customFormat="1" customHeight="1" s="2">
      <c r="A177" s="190" t="n"/>
      <c r="B177" s="191" t="n"/>
      <c r="C177" s="198" t="n"/>
      <c r="D177" s="189" t="n"/>
      <c r="E177" s="123" t="n"/>
      <c r="F177" s="196" t="n"/>
      <c r="G177" s="196" t="n"/>
      <c r="H177" s="160" t="n"/>
      <c r="I177" s="160" t="n"/>
      <c r="J177" s="160" t="n"/>
      <c r="K177" s="205" t="n"/>
      <c r="L177" s="205" t="n"/>
      <c r="M177" s="142" t="n"/>
      <c r="N177" s="196" t="n"/>
      <c r="O177" s="196" t="n"/>
      <c r="P177" s="196" t="n"/>
      <c r="Q177" s="196" t="n"/>
      <c r="R177" s="196" t="n"/>
      <c r="S177" s="196" t="n"/>
      <c r="T177" s="123" t="n"/>
      <c r="U177" s="200" t="n"/>
      <c r="V177" s="200" t="n"/>
      <c r="W177" s="200" t="n"/>
      <c r="X177" s="200" t="n"/>
    </row>
    <row r="178" ht="18.5" customFormat="1" customHeight="1" s="2">
      <c r="A178" s="190" t="n"/>
      <c r="B178" s="191" t="n"/>
      <c r="C178" s="198" t="n"/>
      <c r="D178" s="189" t="n"/>
      <c r="E178" s="123" t="n"/>
      <c r="F178" s="196" t="n"/>
      <c r="G178" s="196" t="n"/>
      <c r="H178" s="160" t="n"/>
      <c r="I178" s="160" t="n"/>
      <c r="J178" s="160" t="n"/>
      <c r="K178" s="205" t="n"/>
      <c r="L178" s="205" t="n"/>
      <c r="M178" s="142" t="n"/>
      <c r="N178" s="196" t="n"/>
      <c r="O178" s="196" t="n"/>
      <c r="P178" s="196" t="n"/>
      <c r="Q178" s="196" t="n"/>
      <c r="R178" s="196" t="n"/>
      <c r="S178" s="196" t="n"/>
      <c r="T178" s="123" t="n"/>
      <c r="U178" s="200" t="n"/>
      <c r="V178" s="200" t="n"/>
      <c r="W178" s="200" t="n"/>
      <c r="X178" s="200" t="n"/>
    </row>
    <row r="179" ht="18.5" customFormat="1" customHeight="1" s="73">
      <c r="A179" s="190" t="n"/>
      <c r="B179" s="191" t="n"/>
      <c r="C179" s="198" t="n"/>
      <c r="D179" s="189" t="n"/>
      <c r="E179" s="123" t="n"/>
      <c r="F179" s="196" t="n"/>
      <c r="G179" s="196" t="n"/>
      <c r="H179" s="160" t="n"/>
      <c r="I179" s="160" t="n"/>
      <c r="J179" s="160" t="n"/>
      <c r="K179" s="205" t="n"/>
      <c r="L179" s="205" t="n"/>
      <c r="M179" s="142" t="n"/>
      <c r="N179" s="196" t="n"/>
      <c r="O179" s="196" t="n"/>
      <c r="P179" s="196" t="n"/>
      <c r="Q179" s="196" t="n"/>
      <c r="R179" s="196" t="n"/>
      <c r="S179" s="196" t="n"/>
      <c r="T179" s="123" t="n"/>
      <c r="U179" s="200" t="n"/>
      <c r="V179" s="200" t="n"/>
      <c r="W179" s="200" t="n"/>
      <c r="X179" s="200" t="n"/>
    </row>
    <row r="180" ht="18.5" customHeight="1" s="180">
      <c r="A180" s="190" t="n"/>
      <c r="B180" s="191" t="n"/>
      <c r="C180" s="198" t="n"/>
      <c r="D180" s="189" t="n"/>
      <c r="E180" s="123" t="n"/>
      <c r="F180" s="196" t="n"/>
      <c r="G180" s="196" t="n"/>
      <c r="H180" s="160" t="n"/>
      <c r="I180" s="160" t="n"/>
      <c r="J180" s="160" t="n"/>
      <c r="K180" s="205" t="n"/>
      <c r="L180" s="205" t="n"/>
      <c r="M180" s="142" t="n"/>
      <c r="N180" s="196" t="n"/>
      <c r="O180" s="196" t="n"/>
      <c r="P180" s="196" t="n"/>
      <c r="Q180" s="196" t="n"/>
      <c r="R180" s="196" t="n"/>
      <c r="S180" s="196" t="n"/>
      <c r="T180" s="123" t="n"/>
    </row>
    <row r="181" ht="18.5" customHeight="1" s="180">
      <c r="A181" s="190" t="n"/>
      <c r="B181" s="191" t="n"/>
      <c r="C181" s="198" t="n"/>
      <c r="D181" s="189" t="n"/>
      <c r="E181" s="123" t="n"/>
      <c r="F181" s="196" t="n"/>
      <c r="G181" s="196" t="n"/>
      <c r="H181" s="160" t="n"/>
      <c r="I181" s="160" t="n"/>
      <c r="J181" s="160" t="n"/>
      <c r="K181" s="205" t="n"/>
      <c r="L181" s="205" t="n"/>
      <c r="M181" s="142" t="n"/>
      <c r="N181" s="196" t="n"/>
      <c r="O181" s="196" t="n"/>
      <c r="P181" s="196" t="n"/>
      <c r="Q181" s="196" t="n"/>
      <c r="R181" s="196" t="n"/>
      <c r="S181" s="196" t="n"/>
      <c r="T181" s="123" t="n"/>
    </row>
    <row r="182">
      <c r="A182" s="190" t="n"/>
      <c r="B182" s="191" t="n"/>
      <c r="C182" s="198" t="n"/>
      <c r="D182" s="189" t="n"/>
      <c r="E182" s="123" t="n"/>
      <c r="F182" s="196" t="n"/>
      <c r="G182" s="196" t="n"/>
      <c r="H182" s="160" t="n"/>
      <c r="I182" s="160" t="n"/>
      <c r="J182" s="160" t="n"/>
      <c r="K182" s="205" t="n"/>
      <c r="L182" s="205" t="n"/>
      <c r="M182" s="142" t="n"/>
      <c r="N182" s="196" t="n"/>
      <c r="O182" s="196" t="n"/>
      <c r="P182" s="196" t="n"/>
      <c r="Q182" s="196" t="n"/>
      <c r="R182" s="196" t="n"/>
      <c r="S182" s="196" t="n"/>
      <c r="T182" s="123" t="n"/>
    </row>
    <row r="183">
      <c r="A183" s="190" t="n"/>
      <c r="B183" s="191" t="n"/>
      <c r="C183" s="198" t="n"/>
      <c r="D183" s="189" t="n"/>
      <c r="E183" s="123" t="n"/>
      <c r="F183" s="196" t="n"/>
      <c r="G183" s="196" t="n"/>
      <c r="H183" s="160" t="n"/>
      <c r="I183" s="160" t="n"/>
      <c r="J183" s="160" t="n"/>
      <c r="K183" s="205" t="n"/>
      <c r="L183" s="205" t="n"/>
      <c r="M183" s="142" t="n"/>
      <c r="N183" s="196" t="n"/>
      <c r="O183" s="196" t="n"/>
      <c r="P183" s="196" t="n"/>
      <c r="Q183" s="196" t="n"/>
      <c r="R183" s="196" t="n"/>
      <c r="S183" s="196" t="n"/>
      <c r="T183" s="123" t="n"/>
    </row>
    <row r="184">
      <c r="A184" s="190" t="n"/>
      <c r="B184" s="191" t="n"/>
      <c r="C184" s="196" t="n"/>
      <c r="D184" s="189" t="n"/>
      <c r="E184" s="123" t="n"/>
      <c r="F184" s="196" t="n"/>
      <c r="G184" s="196" t="n"/>
      <c r="H184" s="160" t="n"/>
      <c r="I184" s="160" t="n"/>
      <c r="J184" s="160" t="n"/>
      <c r="K184" s="205" t="n"/>
      <c r="L184" s="205" t="n"/>
      <c r="M184" s="142" t="n"/>
      <c r="N184" s="196" t="n"/>
      <c r="O184" s="196" t="n"/>
      <c r="P184" s="196" t="n"/>
      <c r="Q184" s="196" t="n"/>
      <c r="R184" s="196" t="n"/>
      <c r="S184" s="196" t="n"/>
      <c r="T184" s="123" t="n"/>
    </row>
    <row r="185">
      <c r="A185" s="190" t="n"/>
      <c r="B185" s="191" t="n"/>
      <c r="C185" s="196" t="n"/>
      <c r="D185" s="189" t="n"/>
      <c r="E185" s="123" t="n"/>
      <c r="F185" s="196" t="n"/>
      <c r="G185" s="196" t="n"/>
      <c r="H185" s="160" t="n"/>
      <c r="I185" s="160" t="n"/>
      <c r="J185" s="160" t="n"/>
      <c r="K185" s="205" t="n"/>
      <c r="L185" s="205" t="n"/>
      <c r="M185" s="142" t="n"/>
      <c r="N185" s="196" t="n"/>
      <c r="O185" s="196" t="n"/>
      <c r="P185" s="196" t="n"/>
      <c r="Q185" s="196" t="n"/>
      <c r="R185" s="196" t="n"/>
      <c r="S185" s="196" t="n"/>
      <c r="T185" s="123" t="n"/>
    </row>
    <row r="186">
      <c r="A186" s="190" t="n"/>
      <c r="B186" s="191" t="n"/>
      <c r="C186" s="198" t="n"/>
      <c r="D186" s="189" t="n"/>
      <c r="E186" s="123" t="n"/>
      <c r="F186" s="196" t="n"/>
      <c r="G186" s="196" t="n"/>
      <c r="H186" s="160" t="n"/>
      <c r="I186" s="160" t="n"/>
      <c r="J186" s="160" t="n"/>
      <c r="K186" s="205" t="n"/>
      <c r="L186" s="205" t="n"/>
      <c r="M186" s="142" t="n"/>
      <c r="N186" s="196" t="n"/>
      <c r="O186" s="196" t="n"/>
      <c r="P186" s="196" t="n"/>
      <c r="Q186" s="196" t="n"/>
      <c r="R186" s="196" t="n"/>
      <c r="S186" s="196" t="n"/>
      <c r="T186" s="123" t="n"/>
    </row>
    <row r="187">
      <c r="A187" s="190" t="n"/>
      <c r="B187" s="191" t="n"/>
      <c r="C187" s="198" t="n"/>
      <c r="D187" s="189" t="n"/>
      <c r="E187" s="123" t="n"/>
      <c r="F187" s="196" t="n"/>
      <c r="G187" s="196" t="n"/>
      <c r="H187" s="160" t="n"/>
      <c r="I187" s="160" t="n"/>
      <c r="J187" s="160" t="n"/>
      <c r="K187" s="205" t="n"/>
      <c r="L187" s="205" t="n"/>
      <c r="M187" s="142" t="n"/>
      <c r="N187" s="196" t="n"/>
      <c r="O187" s="196" t="n"/>
      <c r="P187" s="196" t="n"/>
      <c r="Q187" s="196" t="n"/>
      <c r="R187" s="196" t="n"/>
      <c r="S187" s="196" t="n"/>
      <c r="T187" s="123" t="n"/>
    </row>
    <row r="188">
      <c r="A188" s="190" t="n"/>
      <c r="B188" s="191" t="n"/>
      <c r="C188" s="196" t="n"/>
      <c r="D188" s="189" t="n"/>
      <c r="E188" s="123" t="n"/>
      <c r="F188" s="196" t="n"/>
      <c r="G188" s="196" t="n"/>
      <c r="H188" s="160" t="n"/>
      <c r="I188" s="160" t="n"/>
      <c r="J188" s="160" t="n"/>
      <c r="K188" s="205" t="n"/>
      <c r="L188" s="205" t="n"/>
      <c r="M188" s="142" t="n"/>
      <c r="N188" s="196" t="n"/>
      <c r="O188" s="196" t="n"/>
      <c r="P188" s="196" t="n"/>
      <c r="Q188" s="196" t="n"/>
      <c r="R188" s="196" t="n"/>
      <c r="S188" s="196" t="n"/>
      <c r="T188" s="123" t="n"/>
    </row>
    <row r="189">
      <c r="A189" s="190" t="n"/>
      <c r="B189" s="191" t="n"/>
      <c r="C189" s="196" t="n"/>
      <c r="D189" s="189" t="n"/>
      <c r="E189" s="123" t="n"/>
      <c r="F189" s="196" t="n"/>
      <c r="G189" s="196" t="n"/>
      <c r="H189" s="160" t="n"/>
      <c r="I189" s="160" t="n"/>
      <c r="J189" s="160" t="n"/>
      <c r="K189" s="205" t="n"/>
      <c r="L189" s="205" t="n"/>
      <c r="M189" s="142" t="n"/>
      <c r="N189" s="196" t="n"/>
      <c r="O189" s="196" t="n"/>
      <c r="P189" s="196" t="n"/>
      <c r="Q189" s="196" t="n"/>
      <c r="R189" s="196" t="n"/>
      <c r="S189" s="196" t="n"/>
      <c r="T189" s="123" t="n"/>
    </row>
    <row r="190">
      <c r="A190" s="190" t="n"/>
      <c r="B190" s="191" t="n"/>
      <c r="C190" s="196" t="n"/>
      <c r="D190" s="189" t="n"/>
      <c r="E190" s="123" t="n"/>
      <c r="F190" s="196" t="n"/>
      <c r="G190" s="196" t="n"/>
      <c r="H190" s="160" t="n"/>
      <c r="I190" s="160" t="n"/>
      <c r="J190" s="160" t="n"/>
      <c r="K190" s="205" t="n"/>
      <c r="L190" s="205" t="n"/>
      <c r="M190" s="142" t="n"/>
      <c r="N190" s="196" t="n"/>
      <c r="O190" s="196" t="n"/>
      <c r="P190" s="196" t="n"/>
      <c r="Q190" s="196" t="n"/>
      <c r="R190" s="196" t="n"/>
      <c r="S190" s="196" t="n"/>
      <c r="T190" s="123" t="n"/>
    </row>
    <row r="191">
      <c r="A191" s="190" t="n"/>
      <c r="B191" s="191" t="n"/>
      <c r="C191" s="196" t="n"/>
      <c r="D191" s="189" t="n"/>
      <c r="E191" s="123" t="n"/>
      <c r="F191" s="196" t="n"/>
      <c r="G191" s="196" t="n"/>
      <c r="H191" s="160" t="n"/>
      <c r="I191" s="160" t="n"/>
      <c r="J191" s="160" t="n"/>
      <c r="K191" s="205" t="n"/>
      <c r="L191" s="205" t="n"/>
      <c r="M191" s="142" t="n"/>
      <c r="N191" s="196" t="n"/>
      <c r="O191" s="196" t="n"/>
      <c r="P191" s="196" t="n"/>
      <c r="Q191" s="196" t="n"/>
      <c r="R191" s="196" t="n"/>
      <c r="S191" s="196" t="n"/>
      <c r="T191" s="123" t="n"/>
    </row>
    <row r="192" customFormat="1" s="73">
      <c r="A192" s="190" t="n"/>
      <c r="B192" s="191" t="n"/>
      <c r="C192" s="196" t="n"/>
      <c r="D192" s="189" t="n"/>
      <c r="E192" s="123" t="n"/>
      <c r="F192" s="196" t="n"/>
      <c r="G192" s="196" t="n"/>
      <c r="H192" s="160" t="n"/>
      <c r="I192" s="160" t="n"/>
      <c r="J192" s="160" t="n"/>
      <c r="K192" s="205" t="n"/>
      <c r="L192" s="205" t="n"/>
      <c r="M192" s="142" t="n"/>
      <c r="N192" s="196" t="n"/>
      <c r="O192" s="196" t="n"/>
      <c r="P192" s="196" t="n"/>
      <c r="Q192" s="196" t="n"/>
      <c r="R192" s="196" t="n"/>
      <c r="S192" s="196" t="n"/>
      <c r="T192" s="123" t="n"/>
      <c r="U192" s="200" t="n"/>
      <c r="V192" s="200" t="n"/>
      <c r="W192" s="200" t="n"/>
      <c r="X192" s="200" t="n"/>
    </row>
    <row r="193">
      <c r="A193" s="190" t="n"/>
      <c r="B193" s="191" t="n"/>
      <c r="C193" s="196" t="n"/>
      <c r="D193" s="189" t="n"/>
      <c r="E193" s="123" t="n"/>
      <c r="F193" s="196" t="n"/>
      <c r="G193" s="196" t="n"/>
      <c r="H193" s="160" t="n"/>
      <c r="I193" s="160" t="n"/>
      <c r="J193" s="160" t="n"/>
      <c r="K193" s="205" t="n"/>
      <c r="L193" s="205" t="n"/>
      <c r="M193" s="142" t="n"/>
      <c r="N193" s="196" t="n"/>
      <c r="O193" s="196" t="n"/>
      <c r="P193" s="196" t="n"/>
      <c r="Q193" s="196" t="n"/>
      <c r="R193" s="196" t="n"/>
      <c r="S193" s="196" t="n"/>
      <c r="T193" s="123" t="n"/>
    </row>
    <row r="194">
      <c r="A194" s="190" t="n"/>
      <c r="B194" s="191" t="n"/>
      <c r="C194" s="196" t="n"/>
      <c r="D194" s="189" t="n"/>
      <c r="E194" s="123" t="n"/>
      <c r="F194" s="196" t="n"/>
      <c r="G194" s="196" t="n"/>
      <c r="H194" s="160" t="n"/>
      <c r="I194" s="160" t="n"/>
      <c r="J194" s="160" t="n"/>
      <c r="K194" s="205" t="n"/>
      <c r="L194" s="205" t="n"/>
      <c r="M194" s="142" t="n"/>
      <c r="N194" s="196" t="n"/>
      <c r="O194" s="196" t="n"/>
      <c r="P194" s="196" t="n"/>
      <c r="Q194" s="196" t="n"/>
      <c r="R194" s="196" t="n"/>
      <c r="S194" s="196" t="n"/>
      <c r="T194" s="123" t="n"/>
    </row>
    <row r="195" customFormat="1" s="73">
      <c r="A195" s="190" t="n"/>
      <c r="B195" s="191" t="n"/>
      <c r="C195" s="196" t="n"/>
      <c r="D195" s="189" t="n"/>
      <c r="E195" s="123" t="n"/>
      <c r="F195" s="196" t="n"/>
      <c r="G195" s="196" t="n"/>
      <c r="H195" s="160" t="n"/>
      <c r="I195" s="160" t="n"/>
      <c r="J195" s="160" t="n"/>
      <c r="K195" s="205" t="n"/>
      <c r="L195" s="205" t="n"/>
      <c r="M195" s="142" t="n"/>
      <c r="N195" s="196" t="n"/>
      <c r="O195" s="196" t="n"/>
      <c r="P195" s="196" t="n"/>
      <c r="Q195" s="196" t="n"/>
      <c r="R195" s="196" t="n"/>
      <c r="S195" s="196" t="n"/>
      <c r="T195" s="123" t="n"/>
      <c r="U195" s="200" t="n"/>
      <c r="V195" s="200" t="n"/>
      <c r="W195" s="200" t="n"/>
      <c r="X195" s="200" t="n"/>
    </row>
    <row r="196" customFormat="1" s="73">
      <c r="A196" s="190" t="n"/>
      <c r="B196" s="191" t="n"/>
      <c r="C196" s="196" t="n"/>
      <c r="D196" s="189" t="n"/>
      <c r="E196" s="123" t="n"/>
      <c r="F196" s="196" t="n"/>
      <c r="G196" s="196" t="n"/>
      <c r="H196" s="160" t="n"/>
      <c r="I196" s="160" t="n"/>
      <c r="J196" s="160" t="n"/>
      <c r="K196" s="205" t="n"/>
      <c r="L196" s="205" t="n"/>
      <c r="M196" s="142" t="n"/>
      <c r="N196" s="196" t="n"/>
      <c r="O196" s="196" t="n"/>
      <c r="P196" s="196" t="n"/>
      <c r="Q196" s="196" t="n"/>
      <c r="R196" s="196" t="n"/>
      <c r="S196" s="196" t="n"/>
      <c r="T196" s="123" t="n"/>
      <c r="U196" s="200" t="n"/>
      <c r="V196" s="200" t="n"/>
      <c r="W196" s="200" t="n"/>
      <c r="X196" s="200" t="n"/>
    </row>
    <row r="197" customFormat="1" s="73">
      <c r="A197" s="190" t="n"/>
      <c r="B197" s="191" t="n"/>
      <c r="C197" s="196" t="n"/>
      <c r="D197" s="189" t="n"/>
      <c r="E197" s="123" t="n"/>
      <c r="F197" s="196" t="n"/>
      <c r="G197" s="196" t="n"/>
      <c r="H197" s="160" t="n"/>
      <c r="I197" s="160" t="n"/>
      <c r="J197" s="160" t="n"/>
      <c r="K197" s="205" t="n"/>
      <c r="L197" s="205" t="n"/>
      <c r="M197" s="142" t="n"/>
      <c r="N197" s="196" t="n"/>
      <c r="O197" s="196" t="n"/>
      <c r="P197" s="196" t="n"/>
      <c r="Q197" s="196" t="n"/>
      <c r="R197" s="196" t="n"/>
      <c r="S197" s="196" t="n"/>
      <c r="T197" s="123" t="n"/>
      <c r="U197" s="200" t="n"/>
      <c r="V197" s="200" t="n"/>
      <c r="W197" s="200" t="n"/>
      <c r="X197" s="200" t="n"/>
    </row>
    <row r="198">
      <c r="A198" s="190" t="n"/>
      <c r="B198" s="191" t="n"/>
      <c r="C198" s="196" t="n"/>
      <c r="D198" s="189" t="n"/>
      <c r="E198" s="123" t="n"/>
      <c r="F198" s="196" t="n"/>
      <c r="G198" s="196" t="n"/>
      <c r="H198" s="160" t="n"/>
      <c r="I198" s="160" t="n"/>
      <c r="J198" s="160" t="n"/>
      <c r="K198" s="205" t="n"/>
      <c r="L198" s="205" t="n"/>
      <c r="M198" s="142" t="n"/>
      <c r="N198" s="196" t="n"/>
      <c r="O198" s="196" t="n"/>
      <c r="P198" s="196" t="n"/>
      <c r="Q198" s="196" t="n"/>
      <c r="R198" s="196" t="n"/>
      <c r="S198" s="196" t="n"/>
      <c r="T198" s="123" t="n"/>
    </row>
    <row r="199">
      <c r="A199" s="190" t="n"/>
      <c r="B199" s="191" t="n"/>
      <c r="C199" s="196" t="n"/>
      <c r="D199" s="189" t="n"/>
      <c r="E199" s="123" t="n"/>
      <c r="F199" s="196" t="n"/>
      <c r="G199" s="196" t="n"/>
      <c r="H199" s="160" t="n"/>
      <c r="I199" s="160" t="n"/>
      <c r="J199" s="160" t="n"/>
      <c r="K199" s="205" t="n"/>
      <c r="L199" s="205" t="n"/>
      <c r="M199" s="142" t="n"/>
      <c r="N199" s="196" t="n"/>
      <c r="O199" s="196" t="n"/>
      <c r="P199" s="196" t="n"/>
      <c r="Q199" s="196" t="n"/>
      <c r="R199" s="196" t="n"/>
      <c r="S199" s="196" t="n"/>
      <c r="T199" s="123" t="n"/>
    </row>
    <row r="200">
      <c r="A200" s="190" t="n"/>
      <c r="B200" s="191" t="n"/>
      <c r="C200" s="196" t="n"/>
      <c r="D200" s="189" t="n"/>
      <c r="E200" s="123" t="n"/>
      <c r="F200" s="196" t="n"/>
      <c r="G200" s="196" t="n"/>
      <c r="H200" s="160" t="n"/>
      <c r="I200" s="160" t="n"/>
      <c r="J200" s="160" t="n"/>
      <c r="K200" s="205" t="n"/>
      <c r="L200" s="205" t="n"/>
      <c r="M200" s="142" t="n"/>
      <c r="N200" s="196" t="n"/>
      <c r="O200" s="196" t="n"/>
      <c r="P200" s="196" t="n"/>
      <c r="Q200" s="196" t="n"/>
      <c r="R200" s="196" t="n"/>
      <c r="S200" s="196" t="n"/>
      <c r="T200" s="123" t="n"/>
    </row>
    <row r="201">
      <c r="A201" s="190" t="n"/>
      <c r="B201" s="191" t="n"/>
      <c r="C201" s="196" t="n"/>
      <c r="D201" s="189" t="n"/>
      <c r="E201" s="123" t="n"/>
      <c r="F201" s="196" t="n"/>
      <c r="G201" s="196" t="n"/>
      <c r="H201" s="160" t="n"/>
      <c r="I201" s="160" t="n"/>
      <c r="J201" s="160" t="n"/>
      <c r="K201" s="205" t="n"/>
      <c r="L201" s="205" t="n"/>
      <c r="M201" s="142" t="n"/>
      <c r="N201" s="196" t="n"/>
      <c r="O201" s="196" t="n"/>
      <c r="P201" s="196" t="n"/>
      <c r="Q201" s="196" t="n"/>
      <c r="R201" s="196" t="n"/>
      <c r="S201" s="196" t="n"/>
      <c r="T201" s="123" t="n"/>
    </row>
    <row r="202">
      <c r="A202" s="190" t="n"/>
      <c r="B202" s="191" t="n"/>
      <c r="C202" s="196" t="n"/>
      <c r="D202" s="189" t="n"/>
      <c r="E202" s="123" t="n"/>
      <c r="F202" s="196" t="n"/>
      <c r="G202" s="196" t="n"/>
      <c r="H202" s="160" t="n"/>
      <c r="I202" s="160" t="n"/>
      <c r="J202" s="160" t="n"/>
      <c r="K202" s="205" t="n"/>
      <c r="L202" s="205" t="n"/>
      <c r="M202" s="142" t="n"/>
      <c r="N202" s="196" t="n"/>
      <c r="O202" s="196" t="n"/>
      <c r="P202" s="196" t="n"/>
      <c r="Q202" s="196" t="n"/>
      <c r="R202" s="196" t="n"/>
      <c r="S202" s="196" t="n"/>
      <c r="T202" s="123" t="n"/>
    </row>
    <row r="203">
      <c r="A203" s="190" t="n"/>
      <c r="B203" s="191" t="n"/>
      <c r="C203" s="196" t="n"/>
      <c r="D203" s="189" t="n"/>
      <c r="E203" s="123" t="n"/>
      <c r="F203" s="196" t="n"/>
      <c r="G203" s="196" t="n"/>
      <c r="H203" s="160" t="n"/>
      <c r="I203" s="160" t="n"/>
      <c r="J203" s="160" t="n"/>
      <c r="K203" s="205" t="n"/>
      <c r="L203" s="205" t="n"/>
      <c r="M203" s="142" t="n"/>
      <c r="N203" s="196" t="n"/>
      <c r="O203" s="196" t="n"/>
      <c r="P203" s="196" t="n"/>
      <c r="Q203" s="196" t="n"/>
      <c r="R203" s="196" t="n"/>
      <c r="S203" s="196" t="n"/>
      <c r="T203" s="123" t="n"/>
    </row>
    <row r="204">
      <c r="A204" s="190" t="n"/>
      <c r="B204" s="191" t="n"/>
      <c r="C204" s="196" t="n"/>
      <c r="D204" s="189" t="n"/>
      <c r="E204" s="123" t="n"/>
      <c r="F204" s="196" t="n"/>
      <c r="G204" s="196" t="n"/>
      <c r="H204" s="160" t="n"/>
      <c r="I204" s="160" t="n"/>
      <c r="J204" s="160" t="n"/>
      <c r="K204" s="205" t="n"/>
      <c r="L204" s="205" t="n"/>
      <c r="M204" s="142" t="n"/>
      <c r="N204" s="196" t="n"/>
      <c r="O204" s="196" t="n"/>
      <c r="P204" s="196" t="n"/>
      <c r="Q204" s="196" t="n"/>
      <c r="R204" s="196" t="n"/>
      <c r="S204" s="196" t="n"/>
      <c r="T204" s="123" t="n"/>
    </row>
    <row r="205">
      <c r="A205" s="190" t="n"/>
      <c r="B205" s="191" t="n"/>
      <c r="C205" s="196" t="n"/>
      <c r="D205" s="189" t="n"/>
      <c r="E205" s="123" t="n"/>
      <c r="F205" s="196" t="n"/>
      <c r="G205" s="196" t="n"/>
      <c r="H205" s="160" t="n"/>
      <c r="I205" s="160" t="n"/>
      <c r="J205" s="160" t="n"/>
      <c r="K205" s="205" t="n"/>
      <c r="L205" s="205" t="n"/>
      <c r="M205" s="142" t="n"/>
      <c r="N205" s="196" t="n"/>
      <c r="O205" s="196" t="n"/>
      <c r="P205" s="196" t="n"/>
      <c r="Q205" s="196" t="n"/>
      <c r="R205" s="196" t="n"/>
      <c r="S205" s="196" t="n"/>
      <c r="T205" s="123" t="n"/>
    </row>
    <row r="206">
      <c r="A206" s="190" t="n"/>
      <c r="B206" s="191" t="n"/>
      <c r="C206" s="196" t="n"/>
      <c r="D206" s="189" t="n"/>
      <c r="E206" s="123" t="n"/>
      <c r="F206" s="196" t="n"/>
      <c r="G206" s="196" t="n"/>
      <c r="H206" s="160" t="n"/>
      <c r="I206" s="160" t="n"/>
      <c r="J206" s="160" t="n"/>
      <c r="K206" s="205" t="n"/>
      <c r="L206" s="205" t="n"/>
      <c r="M206" s="142" t="n"/>
      <c r="N206" s="196" t="n"/>
      <c r="O206" s="196" t="n"/>
      <c r="P206" s="196" t="n"/>
      <c r="Q206" s="196" t="n"/>
      <c r="R206" s="196" t="n"/>
      <c r="S206" s="196" t="n"/>
      <c r="T206" s="123" t="n"/>
    </row>
    <row r="207">
      <c r="A207" s="190" t="n"/>
      <c r="B207" s="191" t="n"/>
      <c r="C207" s="196" t="n"/>
      <c r="D207" s="189" t="n"/>
      <c r="E207" s="123" t="n"/>
      <c r="F207" s="196" t="n"/>
      <c r="G207" s="196" t="n"/>
      <c r="H207" s="160" t="n"/>
      <c r="I207" s="160" t="n"/>
      <c r="J207" s="160" t="n"/>
      <c r="K207" s="205" t="n"/>
      <c r="L207" s="205" t="n"/>
      <c r="M207" s="142" t="n"/>
      <c r="N207" s="196" t="n"/>
      <c r="O207" s="196" t="n"/>
      <c r="P207" s="196" t="n"/>
      <c r="Q207" s="196" t="n"/>
      <c r="R207" s="196" t="n"/>
      <c r="S207" s="196" t="n"/>
      <c r="T207" s="123" t="n"/>
    </row>
    <row r="208">
      <c r="A208" s="190" t="n"/>
      <c r="B208" s="191" t="n"/>
      <c r="C208" s="196" t="n"/>
      <c r="D208" s="189" t="n"/>
      <c r="E208" s="123" t="n"/>
      <c r="F208" s="196" t="n"/>
      <c r="G208" s="196" t="n"/>
      <c r="H208" s="160" t="n"/>
      <c r="I208" s="160" t="n"/>
      <c r="J208" s="160" t="n"/>
      <c r="K208" s="205" t="n"/>
      <c r="L208" s="205" t="n"/>
      <c r="M208" s="142" t="n"/>
      <c r="N208" s="196" t="n"/>
      <c r="O208" s="196" t="n"/>
      <c r="P208" s="196" t="n"/>
      <c r="Q208" s="196" t="n"/>
      <c r="R208" s="196" t="n"/>
      <c r="S208" s="196" t="n"/>
      <c r="T208" s="123" t="n"/>
    </row>
    <row r="209">
      <c r="A209" s="190" t="n"/>
      <c r="B209" s="191" t="n"/>
      <c r="C209" s="196" t="n"/>
      <c r="D209" s="189" t="n"/>
      <c r="E209" s="123" t="n"/>
      <c r="F209" s="196" t="n"/>
      <c r="G209" s="196" t="n"/>
      <c r="H209" s="160" t="n"/>
      <c r="I209" s="160" t="n"/>
      <c r="J209" s="160" t="n"/>
      <c r="K209" s="205" t="n"/>
      <c r="L209" s="205" t="n"/>
      <c r="M209" s="142" t="n"/>
      <c r="N209" s="196" t="n"/>
      <c r="O209" s="196" t="n"/>
      <c r="P209" s="196" t="n"/>
      <c r="Q209" s="196" t="n"/>
      <c r="R209" s="196" t="n"/>
      <c r="S209" s="196" t="n"/>
      <c r="T209" s="123" t="n"/>
    </row>
    <row r="210">
      <c r="A210" s="190" t="n"/>
      <c r="B210" s="191" t="n"/>
      <c r="C210" s="196" t="n"/>
      <c r="D210" s="189" t="n"/>
      <c r="E210" s="123" t="n"/>
      <c r="F210" s="196" t="n"/>
      <c r="G210" s="196" t="n"/>
      <c r="H210" s="160" t="n"/>
      <c r="I210" s="160" t="n"/>
      <c r="J210" s="160" t="n"/>
      <c r="K210" s="205" t="n"/>
      <c r="L210" s="205" t="n"/>
      <c r="M210" s="142" t="n"/>
      <c r="N210" s="196" t="n"/>
      <c r="O210" s="196" t="n"/>
      <c r="P210" s="196" t="n"/>
      <c r="Q210" s="196" t="n"/>
      <c r="R210" s="196" t="n"/>
      <c r="S210" s="196" t="n"/>
      <c r="T210" s="123" t="n"/>
    </row>
    <row r="211" customFormat="1" s="73">
      <c r="A211" s="190" t="n"/>
      <c r="B211" s="191" t="n"/>
      <c r="C211" s="196" t="n"/>
      <c r="D211" s="189" t="n"/>
      <c r="E211" s="123" t="n"/>
      <c r="F211" s="196" t="n"/>
      <c r="G211" s="196" t="n"/>
      <c r="H211" s="160" t="n"/>
      <c r="I211" s="160" t="n"/>
      <c r="J211" s="160" t="n"/>
      <c r="K211" s="205" t="n"/>
      <c r="L211" s="205" t="n"/>
      <c r="M211" s="142" t="n"/>
      <c r="N211" s="196" t="n"/>
      <c r="O211" s="196" t="n"/>
      <c r="P211" s="196" t="n"/>
      <c r="Q211" s="196" t="n"/>
      <c r="R211" s="196" t="n"/>
      <c r="S211" s="196" t="n"/>
      <c r="T211" s="123" t="n"/>
      <c r="U211" s="200" t="n"/>
      <c r="V211" s="200" t="n"/>
      <c r="W211" s="200" t="n"/>
      <c r="X211" s="200" t="n"/>
    </row>
    <row r="212">
      <c r="A212" s="190" t="n"/>
      <c r="B212" s="191" t="n"/>
      <c r="C212" s="196" t="n"/>
      <c r="D212" s="189" t="n"/>
      <c r="E212" s="123" t="n"/>
      <c r="F212" s="196" t="n"/>
      <c r="G212" s="196" t="n"/>
      <c r="H212" s="160" t="n"/>
      <c r="I212" s="160" t="n"/>
      <c r="J212" s="160" t="n"/>
      <c r="K212" s="205" t="n"/>
      <c r="L212" s="205" t="n"/>
      <c r="M212" s="142" t="n"/>
      <c r="N212" s="196" t="n"/>
      <c r="O212" s="196" t="n"/>
      <c r="P212" s="196" t="n"/>
      <c r="Q212" s="196" t="n"/>
      <c r="R212" s="196" t="n"/>
      <c r="S212" s="196" t="n"/>
      <c r="T212" s="123" t="n"/>
    </row>
    <row r="213">
      <c r="A213" s="190" t="n"/>
      <c r="B213" s="191" t="n"/>
      <c r="C213" s="196" t="n"/>
      <c r="D213" s="189" t="n"/>
      <c r="E213" s="123" t="n"/>
      <c r="F213" s="196" t="n"/>
      <c r="G213" s="196" t="n"/>
      <c r="H213" s="160" t="n"/>
      <c r="I213" s="160" t="n"/>
      <c r="J213" s="160" t="n"/>
      <c r="K213" s="205" t="n"/>
      <c r="L213" s="205" t="n"/>
      <c r="M213" s="142" t="n"/>
      <c r="N213" s="196" t="n"/>
      <c r="O213" s="196" t="n"/>
      <c r="P213" s="196" t="n"/>
      <c r="Q213" s="196" t="n"/>
      <c r="R213" s="196" t="n"/>
      <c r="S213" s="196" t="n"/>
      <c r="T213" s="123" t="n"/>
    </row>
    <row r="214">
      <c r="A214" s="190" t="n"/>
      <c r="B214" s="191" t="n"/>
      <c r="C214" s="196" t="n"/>
      <c r="D214" s="189" t="n"/>
      <c r="E214" s="123" t="n"/>
      <c r="F214" s="196" t="n"/>
      <c r="G214" s="196" t="n"/>
      <c r="H214" s="160" t="n"/>
      <c r="I214" s="160" t="n"/>
      <c r="J214" s="160" t="n"/>
      <c r="K214" s="205" t="n"/>
      <c r="L214" s="205" t="n"/>
      <c r="M214" s="142" t="n"/>
      <c r="N214" s="196" t="n"/>
      <c r="O214" s="196" t="n"/>
      <c r="P214" s="196" t="n"/>
      <c r="Q214" s="196" t="n"/>
      <c r="R214" s="196" t="n"/>
      <c r="S214" s="196" t="n"/>
      <c r="T214" s="123" t="n"/>
    </row>
    <row r="215">
      <c r="A215" s="190" t="n"/>
      <c r="B215" s="191" t="n"/>
      <c r="C215" s="196" t="n"/>
      <c r="D215" s="189" t="n"/>
      <c r="E215" s="123" t="n"/>
      <c r="F215" s="196" t="n"/>
      <c r="G215" s="196" t="n"/>
      <c r="H215" s="160" t="n"/>
      <c r="I215" s="160" t="n"/>
      <c r="J215" s="160" t="n"/>
      <c r="K215" s="205" t="n"/>
      <c r="L215" s="205" t="n"/>
      <c r="M215" s="142" t="n"/>
      <c r="N215" s="196" t="n"/>
      <c r="O215" s="196" t="n"/>
      <c r="P215" s="196" t="n"/>
      <c r="Q215" s="196" t="n"/>
      <c r="R215" s="196" t="n"/>
      <c r="S215" s="196" t="n"/>
      <c r="T215" s="123" t="n"/>
    </row>
    <row r="216">
      <c r="A216" s="190" t="n"/>
      <c r="B216" s="191" t="n"/>
      <c r="C216" s="196" t="n"/>
      <c r="D216" s="189" t="n"/>
      <c r="E216" s="123" t="n"/>
      <c r="F216" s="196" t="n"/>
      <c r="G216" s="12" t="n"/>
      <c r="H216" s="160" t="n"/>
      <c r="I216" s="160" t="n"/>
      <c r="J216" s="160" t="n"/>
      <c r="K216" s="205" t="n"/>
      <c r="L216" s="205" t="n"/>
      <c r="M216" s="142" t="n"/>
      <c r="N216" s="196" t="n"/>
      <c r="O216" s="196" t="n"/>
      <c r="P216" s="196" t="n"/>
      <c r="Q216" s="196" t="n"/>
      <c r="R216" s="196" t="n"/>
      <c r="S216" s="196" t="n"/>
      <c r="T216" s="123" t="n"/>
    </row>
    <row r="217">
      <c r="A217" s="190" t="n"/>
      <c r="B217" s="191" t="n"/>
      <c r="C217" s="196" t="n"/>
      <c r="D217" s="189" t="n"/>
      <c r="E217" s="123" t="n"/>
      <c r="F217" s="196" t="n"/>
      <c r="G217" s="196" t="n"/>
      <c r="H217" s="160" t="n"/>
      <c r="I217" s="160" t="n"/>
      <c r="J217" s="160" t="n"/>
      <c r="K217" s="205" t="n"/>
      <c r="L217" s="205" t="n"/>
      <c r="M217" s="142" t="n"/>
      <c r="N217" s="196" t="n"/>
      <c r="O217" s="196" t="n"/>
      <c r="P217" s="196" t="n"/>
      <c r="Q217" s="196" t="n"/>
      <c r="R217" s="196" t="n"/>
      <c r="S217" s="196" t="n"/>
      <c r="T217" s="123" t="n"/>
    </row>
    <row r="218">
      <c r="A218" s="190" t="n"/>
      <c r="B218" s="191" t="n"/>
      <c r="C218" s="196" t="n"/>
      <c r="D218" s="189" t="n"/>
      <c r="E218" s="123" t="n"/>
      <c r="F218" s="196" t="n"/>
      <c r="G218" s="196" t="n"/>
      <c r="H218" s="160" t="n"/>
      <c r="I218" s="160" t="n"/>
      <c r="J218" s="160" t="n"/>
      <c r="K218" s="205" t="n"/>
      <c r="L218" s="205" t="n"/>
      <c r="M218" s="142" t="n"/>
      <c r="N218" s="196" t="n"/>
      <c r="O218" s="196" t="n"/>
      <c r="P218" s="196" t="n"/>
      <c r="Q218" s="196" t="n"/>
      <c r="R218" s="196" t="n"/>
      <c r="S218" s="196" t="n"/>
      <c r="T218" s="123" t="n"/>
    </row>
    <row r="219">
      <c r="A219" s="190" t="n"/>
      <c r="B219" s="191" t="n"/>
      <c r="C219" s="196" t="n"/>
      <c r="D219" s="189" t="n"/>
      <c r="E219" s="123" t="n"/>
      <c r="F219" s="196" t="n"/>
      <c r="G219" s="196" t="n"/>
      <c r="H219" s="160" t="n"/>
      <c r="I219" s="160" t="n"/>
      <c r="J219" s="160" t="n"/>
      <c r="K219" s="205" t="n"/>
      <c r="L219" s="205" t="n"/>
      <c r="M219" s="142" t="n"/>
      <c r="N219" s="196" t="n"/>
      <c r="O219" s="196" t="n"/>
      <c r="P219" s="196" t="n"/>
      <c r="Q219" s="196" t="n"/>
      <c r="R219" s="196" t="n"/>
      <c r="S219" s="196" t="n"/>
      <c r="T219" s="123" t="n"/>
    </row>
    <row r="220">
      <c r="A220" s="190" t="n"/>
      <c r="B220" s="191" t="n"/>
      <c r="C220" s="196" t="n"/>
      <c r="D220" s="189" t="n"/>
      <c r="E220" s="123" t="n"/>
      <c r="F220" s="196" t="n"/>
      <c r="G220" s="196" t="n"/>
      <c r="H220" s="160" t="n"/>
      <c r="I220" s="160" t="n"/>
      <c r="J220" s="160" t="n"/>
      <c r="K220" s="205" t="n"/>
      <c r="L220" s="205" t="n"/>
      <c r="M220" s="142" t="n"/>
      <c r="N220" s="196" t="n"/>
      <c r="O220" s="196" t="n"/>
      <c r="P220" s="196" t="n"/>
      <c r="Q220" s="196" t="n"/>
      <c r="R220" s="196" t="n"/>
      <c r="S220" s="196" t="n"/>
      <c r="T220" s="123" t="n"/>
    </row>
    <row r="221">
      <c r="A221" s="190" t="n"/>
      <c r="B221" s="191" t="n"/>
      <c r="C221" s="196" t="n"/>
      <c r="D221" s="189" t="n"/>
      <c r="E221" s="123" t="n"/>
      <c r="F221" s="196" t="n"/>
      <c r="G221" s="196" t="n"/>
      <c r="H221" s="160" t="n"/>
      <c r="I221" s="160" t="n"/>
      <c r="J221" s="160" t="n"/>
      <c r="K221" s="205" t="n"/>
      <c r="L221" s="205" t="n"/>
      <c r="M221" s="142" t="n"/>
      <c r="N221" s="196" t="n"/>
      <c r="O221" s="196" t="n"/>
      <c r="P221" s="196" t="n"/>
      <c r="Q221" s="196" t="n"/>
      <c r="R221" s="196" t="n"/>
      <c r="S221" s="196" t="n"/>
      <c r="T221" s="123" t="n"/>
    </row>
    <row r="222">
      <c r="A222" s="192" t="n"/>
      <c r="B222" s="189" t="n"/>
      <c r="C222" s="196" t="n"/>
      <c r="D222" s="189" t="n"/>
      <c r="E222" s="123" t="n"/>
      <c r="F222" s="196" t="n"/>
      <c r="G222" s="196" t="n"/>
      <c r="H222" s="160" t="n"/>
      <c r="I222" s="160" t="n"/>
      <c r="J222" s="160" t="n"/>
      <c r="K222" s="205" t="n"/>
      <c r="L222" s="205" t="n"/>
      <c r="M222" s="142" t="n"/>
      <c r="N222" s="196" t="n"/>
      <c r="O222" s="196" t="n"/>
      <c r="P222" s="196" t="n"/>
      <c r="Q222" s="196" t="n"/>
      <c r="R222" s="196" t="n"/>
      <c r="S222" s="196" t="n"/>
      <c r="T222" s="123" t="n"/>
    </row>
    <row r="223">
      <c r="A223" s="192" t="n"/>
      <c r="B223" s="189" t="n"/>
      <c r="C223" s="196" t="n"/>
      <c r="D223" s="189" t="n"/>
      <c r="E223" s="123" t="n"/>
      <c r="F223" s="196" t="n"/>
      <c r="G223" s="196" t="n"/>
      <c r="H223" s="160" t="n"/>
      <c r="I223" s="160" t="n"/>
      <c r="J223" s="160" t="n"/>
      <c r="K223" s="205" t="n"/>
      <c r="L223" s="205" t="n"/>
      <c r="M223" s="142" t="n"/>
      <c r="N223" s="196" t="n"/>
      <c r="O223" s="196" t="n"/>
      <c r="P223" s="196" t="n"/>
      <c r="Q223" s="196" t="n"/>
      <c r="R223" s="196" t="n"/>
      <c r="S223" s="196" t="n"/>
      <c r="T223" s="123" t="n"/>
    </row>
    <row r="224">
      <c r="A224" s="192" t="n"/>
      <c r="B224" s="189" t="n"/>
      <c r="C224" s="196" t="n"/>
      <c r="D224" s="189" t="n"/>
      <c r="E224" s="123" t="n"/>
      <c r="F224" s="196" t="n"/>
      <c r="G224" s="196" t="n"/>
      <c r="H224" s="160" t="n"/>
      <c r="I224" s="160" t="n"/>
      <c r="J224" s="160" t="n"/>
      <c r="K224" s="205" t="n"/>
      <c r="L224" s="205" t="n"/>
      <c r="M224" s="142" t="n"/>
      <c r="N224" s="196" t="n"/>
      <c r="O224" s="196" t="n"/>
      <c r="P224" s="196" t="n"/>
      <c r="Q224" s="196" t="n"/>
      <c r="R224" s="196" t="n"/>
      <c r="S224" s="196" t="n"/>
      <c r="T224" s="123" t="n"/>
    </row>
    <row r="225">
      <c r="A225" s="192" t="n"/>
      <c r="B225" s="189" t="n"/>
      <c r="C225" s="196" t="n"/>
      <c r="D225" s="189" t="n"/>
      <c r="E225" s="123" t="n"/>
      <c r="F225" s="196" t="n"/>
      <c r="G225" s="196" t="n"/>
      <c r="H225" s="160" t="n"/>
      <c r="I225" s="160" t="n"/>
      <c r="J225" s="160" t="n"/>
      <c r="K225" s="205" t="n"/>
      <c r="L225" s="205" t="n"/>
      <c r="M225" s="142" t="n"/>
      <c r="N225" s="196" t="n"/>
      <c r="O225" s="196" t="n"/>
      <c r="P225" s="196" t="n"/>
      <c r="Q225" s="196" t="n"/>
      <c r="R225" s="196" t="n"/>
      <c r="S225" s="196" t="n"/>
      <c r="T225" s="123" t="n"/>
    </row>
    <row r="226">
      <c r="A226" s="192" t="n"/>
      <c r="B226" s="189" t="n"/>
      <c r="C226" s="196" t="n"/>
      <c r="D226" s="189" t="n"/>
      <c r="E226" s="123" t="n"/>
      <c r="F226" s="196" t="n"/>
      <c r="G226" s="196" t="n"/>
      <c r="H226" s="160" t="n"/>
      <c r="I226" s="160" t="n"/>
      <c r="J226" s="160" t="n"/>
      <c r="K226" s="205" t="n"/>
      <c r="L226" s="205" t="n"/>
      <c r="M226" s="142" t="n"/>
      <c r="N226" s="196" t="n"/>
      <c r="O226" s="196" t="n"/>
      <c r="P226" s="196" t="n"/>
      <c r="Q226" s="196" t="n"/>
      <c r="R226" s="196" t="n"/>
      <c r="S226" s="196" t="n"/>
      <c r="T226" s="123" t="n"/>
    </row>
    <row r="227">
      <c r="A227" s="192" t="n"/>
      <c r="B227" s="189" t="n"/>
      <c r="C227" s="196" t="n"/>
      <c r="D227" s="189" t="n"/>
      <c r="E227" s="123" t="n"/>
      <c r="F227" s="196" t="n"/>
      <c r="G227" s="196" t="n"/>
      <c r="H227" s="160" t="n"/>
      <c r="I227" s="160" t="n"/>
      <c r="J227" s="160" t="n"/>
      <c r="K227" s="205" t="n"/>
      <c r="L227" s="205" t="n"/>
      <c r="M227" s="142" t="n"/>
      <c r="N227" s="196" t="n"/>
      <c r="O227" s="196" t="n"/>
      <c r="P227" s="196" t="n"/>
      <c r="Q227" s="196" t="n"/>
      <c r="R227" s="196" t="n"/>
      <c r="S227" s="196" t="n"/>
      <c r="T227" s="123" t="n"/>
    </row>
    <row r="228">
      <c r="A228" s="192" t="n"/>
      <c r="B228" s="189" t="n"/>
      <c r="C228" s="196" t="n"/>
      <c r="D228" s="189" t="n"/>
      <c r="E228" s="123" t="n"/>
      <c r="F228" s="196" t="n"/>
      <c r="G228" s="196" t="n"/>
      <c r="H228" s="160" t="n"/>
      <c r="I228" s="160" t="n"/>
      <c r="J228" s="160" t="n"/>
      <c r="K228" s="205" t="n"/>
      <c r="L228" s="205" t="n"/>
      <c r="M228" s="142" t="n"/>
      <c r="N228" s="196" t="n"/>
      <c r="O228" s="196" t="n"/>
      <c r="P228" s="196" t="n"/>
      <c r="Q228" s="196" t="n"/>
      <c r="R228" s="196" t="n"/>
      <c r="S228" s="196" t="n"/>
      <c r="T228" s="123" t="n"/>
    </row>
    <row r="229">
      <c r="A229" s="192" t="n"/>
      <c r="B229" s="189" t="n"/>
      <c r="C229" s="196" t="n"/>
      <c r="D229" s="189" t="n"/>
      <c r="E229" s="123" t="n"/>
      <c r="F229" s="196" t="n"/>
      <c r="G229" s="196" t="n"/>
      <c r="H229" s="160" t="n"/>
      <c r="I229" s="160" t="n"/>
      <c r="J229" s="160" t="n"/>
      <c r="K229" s="205" t="n"/>
      <c r="L229" s="205" t="n"/>
      <c r="M229" s="142" t="n"/>
      <c r="N229" s="196" t="n"/>
      <c r="O229" s="196" t="n"/>
      <c r="P229" s="196" t="n"/>
      <c r="Q229" s="196" t="n"/>
      <c r="R229" s="196" t="n"/>
      <c r="S229" s="196" t="n"/>
      <c r="T229" s="123" t="n"/>
    </row>
    <row r="230">
      <c r="A230" s="192" t="n"/>
      <c r="B230" s="189" t="n"/>
      <c r="C230" s="196" t="n"/>
      <c r="D230" s="189" t="n"/>
      <c r="E230" s="123" t="n"/>
      <c r="F230" s="196" t="n"/>
      <c r="G230" s="196" t="n"/>
      <c r="H230" s="160" t="n"/>
      <c r="I230" s="160" t="n"/>
      <c r="J230" s="160" t="n"/>
      <c r="K230" s="205" t="n"/>
      <c r="L230" s="205" t="n"/>
      <c r="M230" s="142" t="n"/>
      <c r="N230" s="196" t="n"/>
      <c r="O230" s="196" t="n"/>
      <c r="P230" s="196" t="n"/>
      <c r="Q230" s="196" t="n"/>
      <c r="R230" s="196" t="n"/>
      <c r="S230" s="196" t="n"/>
      <c r="T230" s="123" t="n"/>
    </row>
    <row r="231">
      <c r="A231" s="192" t="n"/>
      <c r="B231" s="189" t="n"/>
      <c r="C231" s="196" t="n"/>
      <c r="D231" s="189" t="n"/>
      <c r="E231" s="123" t="n"/>
      <c r="F231" s="196" t="n"/>
      <c r="G231" s="196" t="n"/>
      <c r="H231" s="160" t="n"/>
      <c r="I231" s="160" t="n"/>
      <c r="J231" s="160" t="n"/>
      <c r="K231" s="205" t="n"/>
      <c r="L231" s="205" t="n"/>
      <c r="M231" s="142" t="n"/>
      <c r="N231" s="196" t="n"/>
      <c r="O231" s="196" t="n"/>
      <c r="P231" s="196" t="n"/>
      <c r="Q231" s="196" t="n"/>
      <c r="R231" s="196" t="n"/>
      <c r="S231" s="196" t="n"/>
      <c r="T231" s="123" t="n"/>
    </row>
    <row r="232">
      <c r="A232" s="192" t="n"/>
      <c r="B232" s="189" t="n"/>
      <c r="C232" s="196" t="n"/>
      <c r="D232" s="189" t="n"/>
      <c r="E232" s="123" t="n"/>
      <c r="F232" s="196" t="n"/>
      <c r="G232" s="196" t="n"/>
      <c r="H232" s="160" t="n"/>
      <c r="I232" s="160" t="n"/>
      <c r="J232" s="160" t="n"/>
      <c r="K232" s="205" t="n"/>
      <c r="L232" s="205" t="n"/>
      <c r="M232" s="142" t="n"/>
      <c r="N232" s="196" t="n"/>
      <c r="O232" s="196" t="n"/>
      <c r="P232" s="196" t="n"/>
      <c r="Q232" s="196" t="n"/>
      <c r="R232" s="196" t="n"/>
      <c r="S232" s="196" t="n"/>
      <c r="T232" s="123" t="n"/>
    </row>
    <row r="233">
      <c r="A233" s="192" t="n"/>
      <c r="B233" s="189" t="n"/>
      <c r="C233" s="196" t="n"/>
      <c r="D233" s="189" t="n"/>
      <c r="E233" s="123" t="n"/>
      <c r="F233" s="196" t="n"/>
      <c r="G233" s="196" t="n"/>
      <c r="H233" s="160" t="n"/>
      <c r="I233" s="160" t="n"/>
      <c r="J233" s="160" t="n"/>
      <c r="K233" s="205" t="n"/>
      <c r="L233" s="205" t="n"/>
      <c r="M233" s="142" t="n"/>
      <c r="N233" s="196" t="n"/>
      <c r="O233" s="196" t="n"/>
      <c r="P233" s="196" t="n"/>
      <c r="Q233" s="196" t="n"/>
      <c r="R233" s="196" t="n"/>
      <c r="S233" s="196" t="n"/>
      <c r="T233" s="123" t="n"/>
    </row>
    <row r="234">
      <c r="A234" s="192" t="n"/>
      <c r="B234" s="189" t="n"/>
      <c r="C234" s="196" t="n"/>
      <c r="D234" s="189" t="n"/>
      <c r="E234" s="123" t="n"/>
      <c r="F234" s="196" t="n"/>
      <c r="G234" s="196" t="n"/>
      <c r="H234" s="160" t="n"/>
      <c r="I234" s="160" t="n"/>
      <c r="J234" s="160" t="n"/>
      <c r="K234" s="205" t="n"/>
      <c r="L234" s="205" t="n"/>
      <c r="M234" s="142" t="n"/>
      <c r="N234" s="196" t="n"/>
      <c r="O234" s="196" t="n"/>
      <c r="P234" s="196" t="n"/>
      <c r="Q234" s="196" t="n"/>
      <c r="R234" s="196" t="n"/>
      <c r="S234" s="196" t="n"/>
      <c r="T234" s="123" t="n"/>
    </row>
    <row r="235">
      <c r="A235" s="192" t="n"/>
      <c r="B235" s="189" t="n"/>
      <c r="C235" s="196" t="n"/>
      <c r="D235" s="189" t="n"/>
      <c r="E235" s="123" t="n"/>
      <c r="F235" s="196" t="n"/>
      <c r="G235" s="196" t="n"/>
      <c r="H235" s="160" t="n"/>
      <c r="I235" s="160" t="n"/>
      <c r="J235" s="160" t="n"/>
      <c r="K235" s="205" t="n"/>
      <c r="L235" s="205" t="n"/>
      <c r="M235" s="142" t="n"/>
      <c r="N235" s="196" t="n"/>
      <c r="O235" s="196" t="n"/>
      <c r="P235" s="196" t="n"/>
      <c r="Q235" s="196" t="n"/>
      <c r="R235" s="196" t="n"/>
      <c r="S235" s="196" t="n"/>
      <c r="T235" s="123" t="n"/>
    </row>
    <row r="236">
      <c r="A236" s="192" t="n"/>
      <c r="B236" s="189" t="n"/>
      <c r="C236" s="196" t="n"/>
      <c r="D236" s="189" t="n"/>
      <c r="E236" s="123" t="n"/>
      <c r="F236" s="196" t="n"/>
      <c r="G236" s="196" t="n"/>
      <c r="H236" s="160" t="n"/>
      <c r="I236" s="160" t="n"/>
      <c r="J236" s="160" t="n"/>
      <c r="K236" s="205" t="n"/>
      <c r="L236" s="205" t="n"/>
      <c r="M236" s="142" t="n"/>
      <c r="N236" s="196" t="n"/>
      <c r="O236" s="196" t="n"/>
      <c r="P236" s="196" t="n"/>
      <c r="Q236" s="196" t="n"/>
      <c r="R236" s="196" t="n"/>
      <c r="S236" s="196" t="n"/>
      <c r="T236" s="123" t="n"/>
    </row>
    <row r="237">
      <c r="A237" s="192" t="n"/>
      <c r="B237" s="189" t="n"/>
      <c r="C237" s="196" t="n"/>
      <c r="D237" s="189" t="n"/>
      <c r="E237" s="123" t="n"/>
      <c r="F237" s="196" t="n"/>
      <c r="G237" s="196" t="n"/>
      <c r="H237" s="160" t="n"/>
      <c r="I237" s="160" t="n"/>
      <c r="J237" s="160" t="n"/>
      <c r="K237" s="205" t="n"/>
      <c r="L237" s="205" t="n"/>
      <c r="M237" s="142" t="n"/>
      <c r="N237" s="196" t="n"/>
      <c r="O237" s="196" t="n"/>
      <c r="P237" s="196" t="n"/>
      <c r="Q237" s="196" t="n"/>
      <c r="R237" s="196" t="n"/>
      <c r="S237" s="196" t="n"/>
      <c r="T237" s="123" t="n"/>
    </row>
    <row r="238">
      <c r="A238" s="192" t="n"/>
      <c r="B238" s="189" t="n"/>
      <c r="C238" s="196" t="n"/>
      <c r="D238" s="189" t="n"/>
      <c r="E238" s="123" t="n"/>
      <c r="F238" s="196" t="n"/>
      <c r="G238" s="196" t="n"/>
      <c r="H238" s="160" t="n"/>
      <c r="I238" s="160" t="n"/>
      <c r="J238" s="160" t="n"/>
      <c r="K238" s="205" t="n"/>
      <c r="L238" s="205" t="n"/>
      <c r="M238" s="142" t="n"/>
      <c r="N238" s="196" t="n"/>
      <c r="O238" s="196" t="n"/>
      <c r="P238" s="196" t="n"/>
      <c r="Q238" s="196" t="n"/>
      <c r="R238" s="196" t="n"/>
      <c r="S238" s="196" t="n"/>
      <c r="T238" s="123" t="n"/>
    </row>
    <row r="239">
      <c r="A239" s="192" t="n"/>
      <c r="B239" s="189" t="n"/>
      <c r="C239" s="196" t="n"/>
      <c r="D239" s="189" t="n"/>
      <c r="E239" s="123" t="n"/>
      <c r="F239" s="196" t="n"/>
      <c r="G239" s="196" t="n"/>
      <c r="H239" s="160" t="n"/>
      <c r="I239" s="160" t="n"/>
      <c r="J239" s="160" t="n"/>
      <c r="K239" s="205" t="n"/>
      <c r="L239" s="205" t="n"/>
      <c r="M239" s="142" t="n"/>
      <c r="N239" s="196" t="n"/>
      <c r="O239" s="196" t="n"/>
      <c r="P239" s="196" t="n"/>
      <c r="Q239" s="196" t="n"/>
      <c r="R239" s="196" t="n"/>
      <c r="S239" s="196" t="n"/>
      <c r="T239" s="123" t="n"/>
    </row>
    <row r="240">
      <c r="A240" s="192" t="n"/>
      <c r="B240" s="189" t="n"/>
      <c r="C240" s="196" t="n"/>
      <c r="D240" s="189" t="n"/>
      <c r="E240" s="123" t="n"/>
      <c r="F240" s="196" t="n"/>
      <c r="G240" s="196" t="n"/>
      <c r="H240" s="160" t="n"/>
      <c r="I240" s="160" t="n"/>
      <c r="J240" s="160" t="n"/>
      <c r="K240" s="205" t="n"/>
      <c r="L240" s="205" t="n"/>
      <c r="M240" s="142" t="n"/>
      <c r="N240" s="196" t="n"/>
      <c r="O240" s="196" t="n"/>
      <c r="P240" s="196" t="n"/>
      <c r="Q240" s="196" t="n"/>
      <c r="R240" s="196" t="n"/>
      <c r="S240" s="196" t="n"/>
      <c r="T240" s="123" t="n"/>
    </row>
    <row r="241">
      <c r="A241" s="192" t="n"/>
      <c r="B241" s="189" t="n"/>
      <c r="C241" s="196" t="n"/>
      <c r="D241" s="189" t="n"/>
      <c r="E241" s="123" t="n"/>
      <c r="F241" s="196" t="n"/>
      <c r="G241" s="196" t="n"/>
      <c r="H241" s="160" t="n"/>
      <c r="I241" s="160" t="n"/>
      <c r="J241" s="160" t="n"/>
      <c r="K241" s="205" t="n"/>
      <c r="L241" s="205" t="n"/>
      <c r="M241" s="142" t="n"/>
      <c r="N241" s="196" t="n"/>
      <c r="O241" s="196" t="n"/>
      <c r="P241" s="196" t="n"/>
      <c r="Q241" s="196" t="n"/>
      <c r="R241" s="196" t="n"/>
      <c r="S241" s="196" t="n"/>
      <c r="T241" s="123" t="n"/>
    </row>
    <row r="242">
      <c r="A242" s="192" t="n"/>
      <c r="B242" s="189" t="n"/>
      <c r="C242" s="196" t="n"/>
      <c r="D242" s="189" t="n"/>
      <c r="E242" s="123" t="n"/>
      <c r="F242" s="196" t="n"/>
      <c r="G242" s="196" t="n"/>
      <c r="H242" s="160" t="n"/>
      <c r="I242" s="160" t="n"/>
      <c r="J242" s="160" t="n"/>
      <c r="K242" s="205" t="n"/>
      <c r="L242" s="205" t="n"/>
      <c r="M242" s="142" t="n"/>
      <c r="N242" s="196" t="n"/>
      <c r="O242" s="196" t="n"/>
      <c r="P242" s="196" t="n"/>
      <c r="Q242" s="196" t="n"/>
      <c r="R242" s="196" t="n"/>
      <c r="S242" s="196" t="n"/>
      <c r="T242" s="123" t="n"/>
    </row>
    <row r="243">
      <c r="A243" s="192" t="n"/>
      <c r="B243" s="189" t="n"/>
      <c r="C243" s="196" t="n"/>
      <c r="D243" s="189" t="n"/>
      <c r="E243" s="123" t="n"/>
      <c r="F243" s="196" t="n"/>
      <c r="G243" s="196" t="n"/>
      <c r="H243" s="160" t="n"/>
      <c r="I243" s="160" t="n"/>
      <c r="J243" s="160" t="n"/>
      <c r="K243" s="205" t="n"/>
      <c r="L243" s="205" t="n"/>
      <c r="M243" s="142" t="n"/>
      <c r="N243" s="196" t="n"/>
      <c r="O243" s="196" t="n"/>
      <c r="P243" s="196" t="n"/>
      <c r="Q243" s="196" t="n"/>
      <c r="R243" s="196" t="n"/>
      <c r="S243" s="196" t="n"/>
      <c r="T243" s="123" t="n"/>
    </row>
    <row r="244">
      <c r="A244" s="192" t="n"/>
      <c r="B244" s="189" t="n"/>
      <c r="C244" s="196" t="n"/>
      <c r="D244" s="189" t="n"/>
      <c r="E244" s="123" t="n"/>
      <c r="F244" s="196" t="n"/>
      <c r="G244" s="196" t="n"/>
      <c r="H244" s="160" t="n"/>
      <c r="I244" s="160" t="n"/>
      <c r="J244" s="160" t="n"/>
      <c r="K244" s="205" t="n"/>
      <c r="L244" s="205" t="n"/>
      <c r="M244" s="142" t="n"/>
      <c r="N244" s="196" t="n"/>
      <c r="O244" s="196" t="n"/>
      <c r="P244" s="196" t="n"/>
      <c r="Q244" s="196" t="n"/>
      <c r="R244" s="196" t="n"/>
      <c r="S244" s="196" t="n"/>
      <c r="T244" s="123" t="n"/>
    </row>
    <row r="245">
      <c r="A245" s="192" t="n"/>
      <c r="B245" s="189" t="n"/>
      <c r="C245" s="196" t="n"/>
      <c r="D245" s="189" t="n"/>
      <c r="E245" s="123" t="n"/>
      <c r="F245" s="196" t="n"/>
      <c r="G245" s="196" t="n"/>
      <c r="H245" s="160" t="n"/>
      <c r="I245" s="160" t="n"/>
      <c r="J245" s="160" t="n"/>
      <c r="K245" s="205" t="n"/>
      <c r="L245" s="205" t="n"/>
      <c r="M245" s="142" t="n"/>
      <c r="N245" s="196" t="n"/>
      <c r="O245" s="196" t="n"/>
      <c r="P245" s="196" t="n"/>
      <c r="Q245" s="196" t="n"/>
      <c r="R245" s="196" t="n"/>
      <c r="S245" s="196" t="n"/>
      <c r="T245" s="123" t="n"/>
    </row>
    <row r="246">
      <c r="A246" s="192" t="n"/>
      <c r="B246" s="189" t="n"/>
      <c r="C246" s="196" t="n"/>
      <c r="D246" s="189" t="n"/>
      <c r="E246" s="123" t="n"/>
      <c r="F246" s="196" t="n"/>
      <c r="G246" s="196" t="n"/>
      <c r="H246" s="160" t="n"/>
      <c r="I246" s="160" t="n"/>
      <c r="J246" s="160" t="n"/>
      <c r="K246" s="205" t="n"/>
      <c r="L246" s="205" t="n"/>
      <c r="M246" s="142" t="n"/>
      <c r="N246" s="196" t="n"/>
      <c r="O246" s="196" t="n"/>
      <c r="P246" s="196" t="n"/>
      <c r="Q246" s="196" t="n"/>
      <c r="R246" s="196" t="n"/>
      <c r="S246" s="196" t="n"/>
      <c r="T246" s="123" t="n"/>
    </row>
    <row r="247">
      <c r="A247" s="192" t="n"/>
      <c r="B247" s="189" t="n"/>
      <c r="C247" s="196" t="n"/>
      <c r="D247" s="189" t="n"/>
      <c r="E247" s="123" t="n"/>
      <c r="F247" s="196" t="n"/>
      <c r="G247" s="196" t="n"/>
      <c r="H247" s="160" t="n"/>
      <c r="I247" s="160" t="n"/>
      <c r="J247" s="160" t="n"/>
      <c r="K247" s="205" t="n"/>
      <c r="L247" s="205" t="n"/>
      <c r="M247" s="142" t="n"/>
      <c r="N247" s="196" t="n"/>
      <c r="O247" s="196" t="n"/>
      <c r="P247" s="196" t="n"/>
      <c r="Q247" s="196" t="n"/>
      <c r="R247" s="196" t="n"/>
      <c r="S247" s="196" t="n"/>
      <c r="T247" s="123" t="n"/>
    </row>
    <row r="248">
      <c r="A248" s="192" t="n"/>
      <c r="B248" s="189" t="n"/>
      <c r="C248" s="196" t="n"/>
      <c r="D248" s="189" t="n"/>
      <c r="E248" s="123" t="n"/>
      <c r="F248" s="196" t="n"/>
      <c r="G248" s="196" t="n"/>
      <c r="H248" s="160" t="n"/>
      <c r="I248" s="160" t="n"/>
      <c r="J248" s="160" t="n"/>
      <c r="K248" s="205" t="n"/>
      <c r="L248" s="205" t="n"/>
      <c r="M248" s="142" t="n"/>
      <c r="N248" s="196" t="n"/>
      <c r="O248" s="196" t="n"/>
      <c r="P248" s="196" t="n"/>
      <c r="Q248" s="196" t="n"/>
      <c r="R248" s="196" t="n"/>
      <c r="S248" s="196" t="n"/>
      <c r="T248" s="123" t="n"/>
    </row>
    <row r="249">
      <c r="A249" s="192" t="n"/>
      <c r="B249" s="189" t="n"/>
      <c r="C249" s="196" t="n"/>
      <c r="D249" s="189" t="n"/>
      <c r="E249" s="123" t="n"/>
      <c r="F249" s="196" t="n"/>
      <c r="G249" s="196" t="n"/>
      <c r="H249" s="160" t="n"/>
      <c r="I249" s="160" t="n"/>
      <c r="J249" s="160" t="n"/>
      <c r="K249" s="205" t="n"/>
      <c r="L249" s="205" t="n"/>
      <c r="M249" s="142" t="n"/>
      <c r="N249" s="196" t="n"/>
      <c r="O249" s="196" t="n"/>
      <c r="P249" s="196" t="n"/>
      <c r="Q249" s="196" t="n"/>
      <c r="R249" s="196" t="n"/>
      <c r="S249" s="196" t="n"/>
      <c r="T249" s="123" t="n"/>
    </row>
    <row r="250">
      <c r="A250" s="192" t="n"/>
      <c r="B250" s="189" t="n"/>
      <c r="C250" s="196" t="n"/>
      <c r="D250" s="189" t="n"/>
      <c r="E250" s="123" t="n"/>
      <c r="F250" s="196" t="n"/>
      <c r="G250" s="196" t="n"/>
      <c r="H250" s="160" t="n"/>
      <c r="I250" s="160" t="n"/>
      <c r="J250" s="160" t="n"/>
      <c r="K250" s="205" t="n"/>
      <c r="L250" s="205" t="n"/>
      <c r="M250" s="142" t="n"/>
      <c r="N250" s="196" t="n"/>
      <c r="O250" s="196" t="n"/>
      <c r="P250" s="196" t="n"/>
      <c r="Q250" s="196" t="n"/>
      <c r="R250" s="196" t="n"/>
      <c r="S250" s="196" t="n"/>
      <c r="T250" s="123" t="n"/>
    </row>
    <row r="251">
      <c r="A251" s="192" t="n"/>
      <c r="B251" s="189" t="n"/>
      <c r="C251" s="196" t="n"/>
      <c r="D251" s="189" t="n"/>
      <c r="E251" s="123" t="n"/>
      <c r="F251" s="196" t="n"/>
      <c r="G251" s="196" t="n"/>
      <c r="H251" s="160" t="n"/>
      <c r="I251" s="160" t="n"/>
      <c r="J251" s="160" t="n"/>
      <c r="K251" s="205" t="n"/>
      <c r="L251" s="205" t="n"/>
      <c r="M251" s="142" t="n"/>
      <c r="N251" s="196" t="n"/>
      <c r="O251" s="196" t="n"/>
      <c r="P251" s="196" t="n"/>
      <c r="Q251" s="196" t="n"/>
      <c r="R251" s="196" t="n"/>
      <c r="S251" s="196" t="n"/>
      <c r="T251" s="123" t="n"/>
    </row>
    <row r="252">
      <c r="A252" s="192" t="n"/>
      <c r="B252" s="189" t="n"/>
      <c r="C252" s="196" t="n"/>
      <c r="D252" s="189" t="n"/>
      <c r="E252" s="123" t="n"/>
      <c r="F252" s="196" t="n"/>
      <c r="G252" s="196" t="n"/>
      <c r="H252" s="160" t="n"/>
      <c r="I252" s="160" t="n"/>
      <c r="J252" s="160" t="n"/>
      <c r="K252" s="205" t="n"/>
      <c r="L252" s="205" t="n"/>
      <c r="M252" s="142" t="n"/>
      <c r="N252" s="196" t="n"/>
      <c r="O252" s="196" t="n"/>
      <c r="P252" s="196" t="n"/>
      <c r="Q252" s="196" t="n"/>
      <c r="R252" s="196" t="n"/>
      <c r="S252" s="196" t="n"/>
      <c r="T252" s="123" t="n"/>
    </row>
    <row r="253">
      <c r="A253" s="192" t="n"/>
      <c r="B253" s="189" t="n"/>
      <c r="C253" s="196" t="n"/>
      <c r="D253" s="189" t="n"/>
      <c r="E253" s="123" t="n"/>
      <c r="F253" s="196" t="n"/>
      <c r="G253" s="196" t="n"/>
      <c r="H253" s="160" t="n"/>
      <c r="I253" s="160" t="n"/>
      <c r="J253" s="160" t="n"/>
      <c r="K253" s="205" t="n"/>
      <c r="L253" s="205" t="n"/>
      <c r="M253" s="142" t="n"/>
      <c r="N253" s="196" t="n"/>
      <c r="O253" s="196" t="n"/>
      <c r="P253" s="196" t="n"/>
      <c r="Q253" s="196" t="n"/>
      <c r="R253" s="196" t="n"/>
      <c r="S253" s="196" t="n"/>
      <c r="T253" s="123" t="n"/>
    </row>
    <row r="254">
      <c r="A254" s="192" t="n"/>
      <c r="B254" s="189" t="n"/>
      <c r="C254" s="196" t="n"/>
      <c r="D254" s="189" t="n"/>
      <c r="E254" s="123" t="n"/>
      <c r="F254" s="196" t="n"/>
      <c r="G254" s="196" t="n"/>
      <c r="H254" s="160" t="n"/>
      <c r="I254" s="160" t="n"/>
      <c r="J254" s="160" t="n"/>
      <c r="K254" s="205" t="n"/>
      <c r="L254" s="205" t="n"/>
      <c r="M254" s="142" t="n"/>
      <c r="N254" s="196" t="n"/>
      <c r="O254" s="196" t="n"/>
      <c r="P254" s="196" t="n"/>
      <c r="Q254" s="196" t="n"/>
      <c r="R254" s="196" t="n"/>
      <c r="S254" s="196" t="n"/>
      <c r="T254" s="123" t="n"/>
    </row>
    <row r="255">
      <c r="A255" s="192" t="n"/>
      <c r="B255" s="189" t="n"/>
      <c r="C255" s="196" t="n"/>
      <c r="D255" s="189" t="n"/>
      <c r="E255" s="123" t="n"/>
      <c r="F255" s="196" t="n"/>
      <c r="G255" s="196" t="n"/>
      <c r="H255" s="160" t="n"/>
      <c r="I255" s="160" t="n"/>
      <c r="J255" s="160" t="n"/>
      <c r="K255" s="205" t="n"/>
      <c r="L255" s="205" t="n"/>
      <c r="M255" s="142" t="n"/>
      <c r="N255" s="196" t="n"/>
      <c r="O255" s="196" t="n"/>
      <c r="P255" s="196" t="n"/>
      <c r="Q255" s="196" t="n"/>
      <c r="R255" s="196" t="n"/>
      <c r="S255" s="196" t="n"/>
      <c r="T255" s="123" t="n"/>
    </row>
    <row r="256">
      <c r="A256" s="192" t="n"/>
      <c r="B256" s="189" t="n"/>
      <c r="C256" s="196" t="n"/>
      <c r="D256" s="189" t="n"/>
      <c r="E256" s="123" t="n"/>
      <c r="F256" s="196" t="n"/>
      <c r="G256" s="196" t="n"/>
      <c r="H256" s="160" t="n"/>
      <c r="I256" s="160" t="n"/>
      <c r="J256" s="160" t="n"/>
      <c r="K256" s="205" t="n"/>
      <c r="L256" s="205" t="n"/>
      <c r="M256" s="142" t="n"/>
      <c r="N256" s="196" t="n"/>
      <c r="O256" s="196" t="n"/>
      <c r="P256" s="196" t="n"/>
      <c r="Q256" s="196" t="n"/>
      <c r="R256" s="196" t="n"/>
      <c r="S256" s="196" t="n"/>
      <c r="T256" s="123" t="n"/>
    </row>
    <row r="257">
      <c r="A257" s="192" t="n"/>
      <c r="B257" s="189" t="n"/>
      <c r="C257" s="196" t="n"/>
      <c r="D257" s="189" t="n"/>
      <c r="E257" s="123" t="n"/>
      <c r="F257" s="196" t="n"/>
      <c r="G257" s="196" t="n"/>
      <c r="H257" s="160" t="n"/>
      <c r="I257" s="160" t="n"/>
      <c r="J257" s="160" t="n"/>
      <c r="K257" s="205" t="n"/>
      <c r="L257" s="205" t="n"/>
      <c r="M257" s="142" t="n"/>
      <c r="N257" s="196" t="n"/>
      <c r="O257" s="196" t="n"/>
      <c r="P257" s="196" t="n"/>
      <c r="Q257" s="196" t="n"/>
      <c r="R257" s="196" t="n"/>
      <c r="S257" s="196" t="n"/>
      <c r="T257" s="123" t="n"/>
    </row>
    <row r="258">
      <c r="A258" s="192" t="n"/>
      <c r="B258" s="189" t="n"/>
      <c r="C258" s="196" t="n"/>
      <c r="D258" s="189" t="n"/>
      <c r="E258" s="123" t="n"/>
      <c r="F258" s="196" t="n"/>
      <c r="G258" s="196" t="n"/>
      <c r="H258" s="160" t="n"/>
      <c r="I258" s="160" t="n"/>
      <c r="J258" s="160" t="n"/>
      <c r="K258" s="205" t="n"/>
      <c r="L258" s="205" t="n"/>
      <c r="M258" s="142" t="n"/>
      <c r="N258" s="196" t="n"/>
      <c r="O258" s="196" t="n"/>
      <c r="P258" s="196" t="n"/>
      <c r="Q258" s="196" t="n"/>
      <c r="R258" s="196" t="n"/>
      <c r="S258" s="196" t="n"/>
      <c r="T258" s="123" t="n"/>
    </row>
    <row r="259">
      <c r="A259" s="192" t="n"/>
      <c r="B259" s="189" t="n"/>
      <c r="C259" s="196" t="n"/>
      <c r="D259" s="189" t="n"/>
      <c r="E259" s="123" t="n"/>
      <c r="F259" s="196" t="n"/>
      <c r="G259" s="196" t="n"/>
      <c r="H259" s="160" t="n"/>
      <c r="I259" s="160" t="n"/>
      <c r="J259" s="160" t="n"/>
      <c r="K259" s="205" t="n"/>
      <c r="L259" s="205" t="n"/>
      <c r="M259" s="142" t="n"/>
      <c r="N259" s="196" t="n"/>
      <c r="O259" s="196" t="n"/>
      <c r="P259" s="196" t="n"/>
      <c r="Q259" s="196" t="n"/>
      <c r="R259" s="196" t="n"/>
      <c r="S259" s="196" t="n"/>
      <c r="T259" s="123" t="n"/>
    </row>
    <row r="260">
      <c r="A260" s="192" t="n"/>
      <c r="B260" s="189" t="n"/>
      <c r="C260" s="196" t="n"/>
      <c r="D260" s="189" t="n"/>
      <c r="E260" s="123" t="n"/>
      <c r="F260" s="196" t="n"/>
      <c r="G260" s="196" t="n"/>
      <c r="H260" s="160" t="n"/>
      <c r="I260" s="160" t="n"/>
      <c r="J260" s="160" t="n"/>
      <c r="K260" s="205" t="n"/>
      <c r="L260" s="205" t="n"/>
      <c r="M260" s="142" t="n"/>
      <c r="N260" s="196" t="n"/>
      <c r="O260" s="196" t="n"/>
      <c r="P260" s="196" t="n"/>
      <c r="Q260" s="196" t="n"/>
      <c r="R260" s="196" t="n"/>
      <c r="S260" s="196" t="n"/>
      <c r="T260" s="123" t="n"/>
    </row>
    <row r="261">
      <c r="A261" s="192" t="n"/>
      <c r="B261" s="189" t="n"/>
      <c r="C261" s="196" t="n"/>
      <c r="D261" s="189" t="n"/>
      <c r="E261" s="123" t="n"/>
      <c r="F261" s="196" t="n"/>
      <c r="G261" s="196" t="n"/>
      <c r="H261" s="160" t="n"/>
      <c r="I261" s="160" t="n"/>
      <c r="J261" s="160" t="n"/>
      <c r="K261" s="205" t="n"/>
      <c r="L261" s="205" t="n"/>
      <c r="M261" s="142" t="n"/>
      <c r="N261" s="196" t="n"/>
      <c r="O261" s="196" t="n"/>
      <c r="P261" s="196" t="n"/>
      <c r="Q261" s="196" t="n"/>
      <c r="R261" s="196" t="n"/>
      <c r="S261" s="196" t="n"/>
      <c r="T261" s="123" t="n"/>
    </row>
    <row r="262">
      <c r="A262" s="192" t="n"/>
      <c r="B262" s="189" t="n"/>
      <c r="C262" s="196" t="n"/>
      <c r="D262" s="189" t="n"/>
      <c r="E262" s="123" t="n"/>
      <c r="F262" s="196" t="n"/>
      <c r="G262" s="196" t="n"/>
      <c r="H262" s="160" t="n"/>
      <c r="I262" s="160" t="n"/>
      <c r="J262" s="160" t="n"/>
      <c r="K262" s="205" t="n"/>
      <c r="L262" s="205" t="n"/>
      <c r="M262" s="142" t="n"/>
      <c r="N262" s="196" t="n"/>
      <c r="O262" s="196" t="n"/>
      <c r="P262" s="196" t="n"/>
      <c r="Q262" s="196" t="n"/>
      <c r="R262" s="196" t="n"/>
      <c r="S262" s="196" t="n"/>
      <c r="T262" s="123" t="n"/>
    </row>
    <row r="263">
      <c r="A263" s="192" t="n"/>
      <c r="B263" s="189" t="n"/>
      <c r="C263" s="196" t="n"/>
      <c r="D263" s="189" t="n"/>
      <c r="E263" s="123" t="n"/>
      <c r="F263" s="196" t="n"/>
      <c r="G263" s="196" t="n"/>
      <c r="H263" s="160" t="n"/>
      <c r="I263" s="160" t="n"/>
      <c r="J263" s="160" t="n"/>
      <c r="K263" s="205" t="n"/>
      <c r="L263" s="205" t="n"/>
      <c r="M263" s="142" t="n"/>
      <c r="N263" s="196" t="n"/>
      <c r="O263" s="196" t="n"/>
      <c r="P263" s="196" t="n"/>
      <c r="Q263" s="196" t="n"/>
      <c r="R263" s="196" t="n"/>
      <c r="S263" s="196" t="n"/>
      <c r="T263" s="123" t="n"/>
    </row>
    <row r="264">
      <c r="A264" s="192" t="n"/>
      <c r="B264" s="189" t="n"/>
      <c r="C264" s="196" t="n"/>
      <c r="D264" s="189" t="n"/>
      <c r="E264" s="123" t="n"/>
      <c r="F264" s="196" t="n"/>
      <c r="G264" s="196" t="n"/>
      <c r="H264" s="160" t="n"/>
      <c r="I264" s="160" t="n"/>
      <c r="J264" s="160" t="n"/>
      <c r="K264" s="205" t="n"/>
      <c r="L264" s="205" t="n"/>
      <c r="M264" s="142" t="n"/>
      <c r="N264" s="196" t="n"/>
      <c r="O264" s="196" t="n"/>
      <c r="P264" s="196" t="n"/>
      <c r="Q264" s="196" t="n"/>
      <c r="R264" s="196" t="n"/>
      <c r="S264" s="196" t="n"/>
      <c r="T264" s="123" t="n"/>
    </row>
    <row r="265">
      <c r="A265" s="192" t="n"/>
      <c r="B265" s="189" t="n"/>
      <c r="C265" s="196" t="n"/>
      <c r="D265" s="189" t="n"/>
      <c r="E265" s="123" t="n"/>
      <c r="F265" s="196" t="n"/>
      <c r="G265" s="196" t="n"/>
      <c r="H265" s="160" t="n"/>
      <c r="I265" s="160" t="n"/>
      <c r="J265" s="160" t="n"/>
      <c r="K265" s="205" t="n"/>
      <c r="L265" s="205" t="n"/>
      <c r="M265" s="142" t="n"/>
      <c r="N265" s="196" t="n"/>
      <c r="O265" s="196" t="n"/>
      <c r="P265" s="196" t="n"/>
      <c r="Q265" s="196" t="n"/>
      <c r="R265" s="196" t="n"/>
      <c r="S265" s="196" t="n"/>
      <c r="T265" s="123" t="n"/>
    </row>
    <row r="266">
      <c r="A266" s="192" t="n"/>
      <c r="B266" s="189" t="n"/>
      <c r="C266" s="196" t="n"/>
      <c r="D266" s="189" t="n"/>
      <c r="E266" s="123" t="n"/>
      <c r="F266" s="196" t="n"/>
      <c r="G266" s="196" t="n"/>
      <c r="H266" s="160" t="n"/>
      <c r="I266" s="160" t="n"/>
      <c r="J266" s="160" t="n"/>
      <c r="K266" s="205" t="n"/>
      <c r="L266" s="205" t="n"/>
      <c r="M266" s="142" t="n"/>
      <c r="N266" s="196" t="n"/>
      <c r="O266" s="196" t="n"/>
      <c r="P266" s="196" t="n"/>
      <c r="Q266" s="196" t="n"/>
      <c r="R266" s="196" t="n"/>
      <c r="S266" s="196" t="n"/>
      <c r="T266" s="123" t="n"/>
    </row>
    <row r="267">
      <c r="A267" s="192" t="n"/>
      <c r="B267" s="189" t="n"/>
      <c r="C267" s="196" t="n"/>
      <c r="D267" s="189" t="n"/>
      <c r="E267" s="123" t="n"/>
      <c r="F267" s="196" t="n"/>
      <c r="G267" s="196" t="n"/>
      <c r="H267" s="160" t="n"/>
      <c r="I267" s="160" t="n"/>
      <c r="J267" s="160" t="n"/>
      <c r="K267" s="205" t="n"/>
      <c r="L267" s="205" t="n"/>
      <c r="M267" s="142" t="n"/>
      <c r="N267" s="196" t="n"/>
      <c r="O267" s="196" t="n"/>
      <c r="P267" s="196" t="n"/>
      <c r="Q267" s="196" t="n"/>
      <c r="R267" s="196" t="n"/>
      <c r="S267" s="196" t="n"/>
      <c r="T267" s="123" t="n"/>
    </row>
    <row r="268">
      <c r="A268" s="192" t="n"/>
      <c r="B268" s="189" t="n"/>
      <c r="C268" s="196" t="n"/>
      <c r="D268" s="189" t="n"/>
      <c r="E268" s="123" t="n"/>
      <c r="F268" s="196" t="n"/>
      <c r="G268" s="196" t="n"/>
      <c r="H268" s="160" t="n"/>
      <c r="I268" s="160" t="n"/>
      <c r="J268" s="160" t="n"/>
      <c r="K268" s="205" t="n"/>
      <c r="L268" s="205" t="n"/>
      <c r="M268" s="142" t="n"/>
      <c r="N268" s="196" t="n"/>
      <c r="O268" s="196" t="n"/>
      <c r="P268" s="196" t="n"/>
      <c r="Q268" s="196" t="n"/>
      <c r="R268" s="196" t="n"/>
      <c r="S268" s="196" t="n"/>
      <c r="T268" s="123" t="n"/>
    </row>
    <row r="269">
      <c r="A269" s="192" t="n"/>
      <c r="B269" s="189" t="n"/>
      <c r="C269" s="196" t="n"/>
      <c r="D269" s="189" t="n"/>
      <c r="E269" s="123" t="n"/>
      <c r="F269" s="196" t="n"/>
      <c r="G269" s="196" t="n"/>
      <c r="H269" s="205" t="n"/>
      <c r="I269" s="205" t="n"/>
      <c r="J269" s="205" t="n"/>
      <c r="K269" s="205" t="n"/>
      <c r="L269" s="205" t="n"/>
      <c r="M269" s="142" t="n"/>
      <c r="N269" s="196" t="n"/>
      <c r="O269" s="196" t="n"/>
      <c r="P269" s="196" t="n"/>
      <c r="Q269" s="196" t="n"/>
      <c r="R269" s="196" t="n"/>
      <c r="S269" s="196" t="n"/>
      <c r="T269" s="123" t="n"/>
    </row>
    <row r="270">
      <c r="A270" s="192" t="n"/>
      <c r="B270" s="189" t="n"/>
      <c r="C270" s="196" t="n"/>
      <c r="D270" s="189" t="n"/>
      <c r="E270" s="123" t="n"/>
      <c r="F270" s="196" t="n"/>
      <c r="G270" s="196" t="n"/>
      <c r="H270" s="205" t="n"/>
      <c r="I270" s="205" t="n"/>
      <c r="J270" s="205" t="n"/>
      <c r="K270" s="205" t="n"/>
      <c r="L270" s="205" t="n"/>
      <c r="M270" s="142" t="n"/>
      <c r="N270" s="196" t="n"/>
      <c r="O270" s="196" t="n"/>
      <c r="P270" s="196" t="n"/>
      <c r="Q270" s="196" t="n"/>
      <c r="R270" s="196" t="n"/>
      <c r="S270" s="196" t="n"/>
      <c r="T270" s="123" t="n"/>
    </row>
    <row r="271">
      <c r="A271" s="192" t="n"/>
      <c r="B271" s="189" t="n"/>
      <c r="C271" s="196" t="n"/>
      <c r="D271" s="189" t="n"/>
      <c r="E271" s="123" t="n"/>
      <c r="F271" s="196" t="n"/>
      <c r="G271" s="196" t="n"/>
      <c r="H271" s="205" t="n"/>
      <c r="I271" s="205" t="n"/>
      <c r="J271" s="205" t="n"/>
      <c r="K271" s="205" t="n"/>
      <c r="L271" s="205" t="n"/>
      <c r="M271" s="142" t="n"/>
      <c r="N271" s="196" t="n"/>
      <c r="O271" s="196" t="n"/>
      <c r="P271" s="196" t="n"/>
      <c r="Q271" s="196" t="n"/>
      <c r="R271" s="196" t="n"/>
      <c r="S271" s="196" t="n"/>
      <c r="T271" s="123" t="n"/>
    </row>
    <row r="272">
      <c r="A272" s="192" t="n"/>
      <c r="B272" s="189" t="n"/>
      <c r="C272" s="196" t="n"/>
      <c r="D272" s="189" t="n"/>
      <c r="E272" s="123" t="n"/>
      <c r="F272" s="196" t="n"/>
      <c r="G272" s="196" t="n"/>
      <c r="H272" s="205" t="n"/>
      <c r="I272" s="205" t="n"/>
      <c r="J272" s="205" t="n"/>
      <c r="K272" s="205" t="n"/>
      <c r="L272" s="205" t="n"/>
      <c r="M272" s="142" t="n"/>
      <c r="N272" s="196" t="n"/>
      <c r="O272" s="196" t="n"/>
      <c r="P272" s="196" t="n"/>
      <c r="Q272" s="196" t="n"/>
      <c r="R272" s="196" t="n"/>
      <c r="S272" s="196" t="n"/>
      <c r="T272" s="123" t="n"/>
    </row>
    <row r="273">
      <c r="A273" s="192" t="n"/>
      <c r="B273" s="189" t="n"/>
      <c r="C273" s="196" t="n"/>
      <c r="D273" s="189" t="n"/>
      <c r="E273" s="123" t="n"/>
      <c r="F273" s="196" t="n"/>
      <c r="G273" s="196" t="n"/>
      <c r="H273" s="205" t="n"/>
      <c r="I273" s="205" t="n"/>
      <c r="J273" s="205" t="n"/>
      <c r="K273" s="205" t="n"/>
      <c r="L273" s="205" t="n"/>
      <c r="M273" s="142" t="n"/>
      <c r="N273" s="196" t="n"/>
      <c r="O273" s="196" t="n"/>
      <c r="P273" s="196" t="n"/>
      <c r="Q273" s="196" t="n"/>
      <c r="R273" s="196" t="n"/>
      <c r="S273" s="196" t="n"/>
      <c r="T273" s="123" t="n"/>
    </row>
    <row r="274">
      <c r="A274" s="192" t="n"/>
      <c r="B274" s="189" t="n"/>
      <c r="C274" s="196" t="n"/>
      <c r="D274" s="189" t="n"/>
      <c r="E274" s="123" t="n"/>
      <c r="F274" s="196" t="n"/>
      <c r="G274" s="196" t="n"/>
      <c r="H274" s="205" t="n"/>
      <c r="I274" s="205" t="n"/>
      <c r="J274" s="205" t="n"/>
      <c r="K274" s="205" t="n"/>
      <c r="L274" s="205" t="n"/>
      <c r="M274" s="142" t="n"/>
      <c r="N274" s="196" t="n"/>
      <c r="O274" s="196" t="n"/>
      <c r="P274" s="196" t="n"/>
      <c r="Q274" s="196" t="n"/>
      <c r="R274" s="196" t="n"/>
      <c r="S274" s="196" t="n"/>
      <c r="T274" s="123" t="n"/>
    </row>
  </sheetData>
  <autoFilter ref="A13:V274">
    <filterColumn colId="0" hiddenButton="0" showButton="0"/>
    <filterColumn colId="2" hiddenButton="0" showButton="0"/>
  </autoFilter>
  <mergeCells count="562">
    <mergeCell ref="A15:B15"/>
    <mergeCell ref="A64:B64"/>
    <mergeCell ref="A257:B257"/>
    <mergeCell ref="X2:Y2"/>
    <mergeCell ref="A186:B186"/>
    <mergeCell ref="C15:D15"/>
    <mergeCell ref="A51:B51"/>
    <mergeCell ref="A107:B107"/>
    <mergeCell ref="C191:D191"/>
    <mergeCell ref="A178:B178"/>
    <mergeCell ref="C107:D107"/>
    <mergeCell ref="A191:B191"/>
    <mergeCell ref="C234:D234"/>
    <mergeCell ref="C172:D172"/>
    <mergeCell ref="C79:D79"/>
    <mergeCell ref="C184:D184"/>
    <mergeCell ref="C73:D73"/>
    <mergeCell ref="C171:D171"/>
    <mergeCell ref="C121:D121"/>
    <mergeCell ref="M10:N10"/>
    <mergeCell ref="C173:D173"/>
    <mergeCell ref="A267:B267"/>
    <mergeCell ref="C148:D148"/>
    <mergeCell ref="A33:B33"/>
    <mergeCell ref="A204:B204"/>
    <mergeCell ref="A269:B269"/>
    <mergeCell ref="A231:B231"/>
    <mergeCell ref="A206:B206"/>
    <mergeCell ref="A262:B262"/>
    <mergeCell ref="A62:B62"/>
    <mergeCell ref="A35:B35"/>
    <mergeCell ref="C262:D262"/>
    <mergeCell ref="C237:D237"/>
    <mergeCell ref="A28:B28"/>
    <mergeCell ref="C28:D28"/>
    <mergeCell ref="A245:B245"/>
    <mergeCell ref="C3:D3"/>
    <mergeCell ref="A39:B39"/>
    <mergeCell ref="E3:F3"/>
    <mergeCell ref="C239:D239"/>
    <mergeCell ref="A30:B30"/>
    <mergeCell ref="C92:D92"/>
    <mergeCell ref="C30:D30"/>
    <mergeCell ref="A59:B59"/>
    <mergeCell ref="A103:B103"/>
    <mergeCell ref="C97:D97"/>
    <mergeCell ref="X8:Y8"/>
    <mergeCell ref="A61:B61"/>
    <mergeCell ref="A153:B153"/>
    <mergeCell ref="A128:B128"/>
    <mergeCell ref="A217:B217"/>
    <mergeCell ref="C242:D242"/>
    <mergeCell ref="A136:B136"/>
    <mergeCell ref="X3:Y3"/>
    <mergeCell ref="A192:B192"/>
    <mergeCell ref="C192:D192"/>
    <mergeCell ref="C252:D252"/>
    <mergeCell ref="C244:D244"/>
    <mergeCell ref="A129:B129"/>
    <mergeCell ref="A194:B194"/>
    <mergeCell ref="X5:Y5"/>
    <mergeCell ref="C123:D123"/>
    <mergeCell ref="C194:D194"/>
    <mergeCell ref="A181:B181"/>
    <mergeCell ref="C110:D110"/>
    <mergeCell ref="C181:D181"/>
    <mergeCell ref="A131:B131"/>
    <mergeCell ref="A52:B52"/>
    <mergeCell ref="C174:D174"/>
    <mergeCell ref="C18:D18"/>
    <mergeCell ref="C189:D189"/>
    <mergeCell ref="A34:B34"/>
    <mergeCell ref="A83:B83"/>
    <mergeCell ref="A143:B143"/>
    <mergeCell ref="C34:D34"/>
    <mergeCell ref="A270:B270"/>
    <mergeCell ref="A49:B49"/>
    <mergeCell ref="A36:B36"/>
    <mergeCell ref="A207:B207"/>
    <mergeCell ref="C128:D128"/>
    <mergeCell ref="C113:D113"/>
    <mergeCell ref="A78:B78"/>
    <mergeCell ref="A271:B271"/>
    <mergeCell ref="C29:D29"/>
    <mergeCell ref="A205:B205"/>
    <mergeCell ref="C271:D271"/>
    <mergeCell ref="A65:B65"/>
    <mergeCell ref="C205:D205"/>
    <mergeCell ref="C265:D265"/>
    <mergeCell ref="C65:D65"/>
    <mergeCell ref="C94:D94"/>
    <mergeCell ref="C100:D100"/>
    <mergeCell ref="C44:D44"/>
    <mergeCell ref="A80:B80"/>
    <mergeCell ref="C142:D142"/>
    <mergeCell ref="A273:B273"/>
    <mergeCell ref="C80:D80"/>
    <mergeCell ref="C31:D31"/>
    <mergeCell ref="C129:D129"/>
    <mergeCell ref="A55:B55"/>
    <mergeCell ref="C95:D95"/>
    <mergeCell ref="A200:B200"/>
    <mergeCell ref="A156:B156"/>
    <mergeCell ref="A202:B202"/>
    <mergeCell ref="A258:B258"/>
    <mergeCell ref="C131:D131"/>
    <mergeCell ref="C258:D258"/>
    <mergeCell ref="A220:B220"/>
    <mergeCell ref="C245:D245"/>
    <mergeCell ref="C49:D49"/>
    <mergeCell ref="A24:B24"/>
    <mergeCell ref="A266:B266"/>
    <mergeCell ref="C195:D195"/>
    <mergeCell ref="C24:D24"/>
    <mergeCell ref="C266:D266"/>
    <mergeCell ref="A60:B60"/>
    <mergeCell ref="A260:B260"/>
    <mergeCell ref="C260:D260"/>
    <mergeCell ref="C42:D42"/>
    <mergeCell ref="A197:B197"/>
    <mergeCell ref="C259:D259"/>
    <mergeCell ref="C126:D126"/>
    <mergeCell ref="C197:D197"/>
    <mergeCell ref="C88:D88"/>
    <mergeCell ref="A124:B124"/>
    <mergeCell ref="C26:D26"/>
    <mergeCell ref="C249:D249"/>
    <mergeCell ref="C261:D261"/>
    <mergeCell ref="C117:D117"/>
    <mergeCell ref="C55:D55"/>
    <mergeCell ref="A84:B84"/>
    <mergeCell ref="A149:B149"/>
    <mergeCell ref="A50:B50"/>
    <mergeCell ref="A86:B86"/>
    <mergeCell ref="C115:D115"/>
    <mergeCell ref="A213:B213"/>
    <mergeCell ref="A151:B151"/>
    <mergeCell ref="C213:D213"/>
    <mergeCell ref="C273:D273"/>
    <mergeCell ref="C52:D52"/>
    <mergeCell ref="A150:B150"/>
    <mergeCell ref="A144:B144"/>
    <mergeCell ref="C150:D150"/>
    <mergeCell ref="A215:B215"/>
    <mergeCell ref="C39:D39"/>
    <mergeCell ref="C144:D144"/>
    <mergeCell ref="A81:B81"/>
    <mergeCell ref="A152:B152"/>
    <mergeCell ref="C81:D81"/>
    <mergeCell ref="C208:D208"/>
    <mergeCell ref="C37:D37"/>
    <mergeCell ref="C145:D145"/>
    <mergeCell ref="C210:D210"/>
    <mergeCell ref="A226:B226"/>
    <mergeCell ref="A241:B241"/>
    <mergeCell ref="A70:B70"/>
    <mergeCell ref="A228:B228"/>
    <mergeCell ref="A172:B172"/>
    <mergeCell ref="C63:D63"/>
    <mergeCell ref="A243:B243"/>
    <mergeCell ref="C134:D134"/>
    <mergeCell ref="A99:B99"/>
    <mergeCell ref="C50:D50"/>
    <mergeCell ref="A74:B74"/>
    <mergeCell ref="A236:B236"/>
    <mergeCell ref="A163:B163"/>
    <mergeCell ref="A101:B101"/>
    <mergeCell ref="C163:D163"/>
    <mergeCell ref="A76:B76"/>
    <mergeCell ref="K2:L2"/>
    <mergeCell ref="C138:D138"/>
    <mergeCell ref="C76:D76"/>
    <mergeCell ref="C27:D27"/>
    <mergeCell ref="C119:D119"/>
    <mergeCell ref="A140:B140"/>
    <mergeCell ref="Z13:AA13"/>
    <mergeCell ref="C158:D158"/>
    <mergeCell ref="C264:D264"/>
    <mergeCell ref="A216:B216"/>
    <mergeCell ref="A45:B45"/>
    <mergeCell ref="C216:D216"/>
    <mergeCell ref="C45:D45"/>
    <mergeCell ref="A87:B87"/>
    <mergeCell ref="A218:B218"/>
    <mergeCell ref="C147:D147"/>
    <mergeCell ref="C109:D109"/>
    <mergeCell ref="C218:D218"/>
    <mergeCell ref="C274:D274"/>
    <mergeCell ref="C47:D47"/>
    <mergeCell ref="A46:B46"/>
    <mergeCell ref="A89:B89"/>
    <mergeCell ref="C211:D211"/>
    <mergeCell ref="C40:D40"/>
    <mergeCell ref="A105:B105"/>
    <mergeCell ref="A26:B26"/>
    <mergeCell ref="A71:B71"/>
    <mergeCell ref="A242:B242"/>
    <mergeCell ref="C71:D71"/>
    <mergeCell ref="A249:B249"/>
    <mergeCell ref="A234:B234"/>
    <mergeCell ref="I8:J8"/>
    <mergeCell ref="A184:B184"/>
    <mergeCell ref="A244:B244"/>
    <mergeCell ref="A100:B100"/>
    <mergeCell ref="A171:B171"/>
    <mergeCell ref="A165:B165"/>
    <mergeCell ref="C165:D165"/>
    <mergeCell ref="K10:L10"/>
    <mergeCell ref="A115:B115"/>
    <mergeCell ref="C66:D66"/>
    <mergeCell ref="A102:B102"/>
    <mergeCell ref="A173:B173"/>
    <mergeCell ref="C53:D53"/>
    <mergeCell ref="A229:B229"/>
    <mergeCell ref="C102:D102"/>
    <mergeCell ref="C229:D229"/>
    <mergeCell ref="A77:B77"/>
    <mergeCell ref="K3:L3"/>
    <mergeCell ref="C77:D77"/>
    <mergeCell ref="C179:D179"/>
    <mergeCell ref="C68:D68"/>
    <mergeCell ref="A166:B166"/>
    <mergeCell ref="C166:D166"/>
    <mergeCell ref="C160:D160"/>
    <mergeCell ref="C141:D141"/>
    <mergeCell ref="K5:L5"/>
    <mergeCell ref="A168:B168"/>
    <mergeCell ref="C143:D143"/>
    <mergeCell ref="A255:B255"/>
    <mergeCell ref="C255:D255"/>
    <mergeCell ref="A120:B120"/>
    <mergeCell ref="A3:B3"/>
    <mergeCell ref="C59:D59"/>
    <mergeCell ref="A239:B239"/>
    <mergeCell ref="A21:B21"/>
    <mergeCell ref="C46:D46"/>
    <mergeCell ref="C21:D21"/>
    <mergeCell ref="A57:B57"/>
    <mergeCell ref="A113:B113"/>
    <mergeCell ref="K8:L8"/>
    <mergeCell ref="A32:B32"/>
    <mergeCell ref="C61:D61"/>
    <mergeCell ref="A219:B219"/>
    <mergeCell ref="A23:B23"/>
    <mergeCell ref="C219:D219"/>
    <mergeCell ref="C48:D48"/>
    <mergeCell ref="C23:D23"/>
    <mergeCell ref="A96:B96"/>
    <mergeCell ref="C125:D125"/>
    <mergeCell ref="C161:D161"/>
    <mergeCell ref="C154:D154"/>
    <mergeCell ref="C156:D156"/>
    <mergeCell ref="A123:B123"/>
    <mergeCell ref="A250:B250"/>
    <mergeCell ref="C74:D74"/>
    <mergeCell ref="C250:D250"/>
    <mergeCell ref="A110:B110"/>
    <mergeCell ref="A237:B237"/>
    <mergeCell ref="A16:B16"/>
    <mergeCell ref="A187:B187"/>
    <mergeCell ref="C16:D16"/>
    <mergeCell ref="A174:B174"/>
    <mergeCell ref="C103:D103"/>
    <mergeCell ref="A108:B108"/>
    <mergeCell ref="C230:D230"/>
    <mergeCell ref="C168:D168"/>
    <mergeCell ref="A118:B118"/>
    <mergeCell ref="C180:D180"/>
    <mergeCell ref="A18:B18"/>
    <mergeCell ref="A189:B189"/>
    <mergeCell ref="C118:D118"/>
    <mergeCell ref="A238:B238"/>
    <mergeCell ref="C167:D167"/>
    <mergeCell ref="C238:D238"/>
    <mergeCell ref="C232:D232"/>
    <mergeCell ref="C207:D207"/>
    <mergeCell ref="C182:D182"/>
    <mergeCell ref="A47:B47"/>
    <mergeCell ref="C169:D169"/>
    <mergeCell ref="A263:B263"/>
    <mergeCell ref="G4:H4"/>
    <mergeCell ref="C233:D233"/>
    <mergeCell ref="I4:J4"/>
    <mergeCell ref="A29:B29"/>
    <mergeCell ref="A134:B134"/>
    <mergeCell ref="A265:B265"/>
    <mergeCell ref="A121:B121"/>
    <mergeCell ref="A44:B44"/>
    <mergeCell ref="C96:D96"/>
    <mergeCell ref="A31:B31"/>
    <mergeCell ref="Z9:AA9"/>
    <mergeCell ref="A58:B58"/>
    <mergeCell ref="C87:D87"/>
    <mergeCell ref="C62:D62"/>
    <mergeCell ref="A98:B98"/>
    <mergeCell ref="A73:B73"/>
    <mergeCell ref="C98:D98"/>
    <mergeCell ref="C89:D89"/>
    <mergeCell ref="C116:D116"/>
    <mergeCell ref="C187:D187"/>
    <mergeCell ref="C64:D64"/>
    <mergeCell ref="A162:B162"/>
    <mergeCell ref="C162:D162"/>
    <mergeCell ref="C177:D177"/>
    <mergeCell ref="A164:B164"/>
    <mergeCell ref="C226:D226"/>
    <mergeCell ref="C93:D93"/>
    <mergeCell ref="C164:D164"/>
    <mergeCell ref="C222:D222"/>
    <mergeCell ref="A251:B251"/>
    <mergeCell ref="X6:Y6"/>
    <mergeCell ref="A195:B195"/>
    <mergeCell ref="C251:D251"/>
    <mergeCell ref="A42:B42"/>
    <mergeCell ref="A188:B188"/>
    <mergeCell ref="A17:B17"/>
    <mergeCell ref="A259:B259"/>
    <mergeCell ref="C17:D17"/>
    <mergeCell ref="A126:B126"/>
    <mergeCell ref="A253:B253"/>
    <mergeCell ref="A53:B53"/>
    <mergeCell ref="A109:B109"/>
    <mergeCell ref="C253:D253"/>
    <mergeCell ref="A240:B240"/>
    <mergeCell ref="C240:D240"/>
    <mergeCell ref="A68:B68"/>
    <mergeCell ref="A190:B190"/>
    <mergeCell ref="A19:B19"/>
    <mergeCell ref="C190:D190"/>
    <mergeCell ref="C19:D19"/>
    <mergeCell ref="A117:B117"/>
    <mergeCell ref="A111:B111"/>
    <mergeCell ref="C111:D111"/>
    <mergeCell ref="C83:D83"/>
    <mergeCell ref="C254:D254"/>
    <mergeCell ref="A48:B48"/>
    <mergeCell ref="C248:D248"/>
    <mergeCell ref="C175:D175"/>
    <mergeCell ref="C235:D235"/>
    <mergeCell ref="A142:B142"/>
    <mergeCell ref="C14:D14"/>
    <mergeCell ref="C185:D185"/>
    <mergeCell ref="A79:B79"/>
    <mergeCell ref="I7:J7"/>
    <mergeCell ref="A137:B137"/>
    <mergeCell ref="A208:B208"/>
    <mergeCell ref="C137:D137"/>
    <mergeCell ref="A268:B268"/>
    <mergeCell ref="A37:B37"/>
    <mergeCell ref="C124:D124"/>
    <mergeCell ref="A145:B145"/>
    <mergeCell ref="A139:B139"/>
    <mergeCell ref="A272:B272"/>
    <mergeCell ref="A210:B210"/>
    <mergeCell ref="C201:D201"/>
    <mergeCell ref="C139:D139"/>
    <mergeCell ref="C90:D90"/>
    <mergeCell ref="C188:D188"/>
    <mergeCell ref="A203:B203"/>
    <mergeCell ref="C132:D132"/>
    <mergeCell ref="C203:D203"/>
    <mergeCell ref="A63:B63"/>
    <mergeCell ref="A261:B261"/>
    <mergeCell ref="A92:B92"/>
    <mergeCell ref="G2:H2"/>
    <mergeCell ref="C108:D108"/>
    <mergeCell ref="K9:L9"/>
    <mergeCell ref="M9:N9"/>
    <mergeCell ref="A119:B119"/>
    <mergeCell ref="A94:B94"/>
    <mergeCell ref="A69:B69"/>
    <mergeCell ref="X7:Y7"/>
    <mergeCell ref="C20:D20"/>
    <mergeCell ref="A256:B256"/>
    <mergeCell ref="C256:D256"/>
    <mergeCell ref="A183:B183"/>
    <mergeCell ref="C112:D112"/>
    <mergeCell ref="C85:D85"/>
    <mergeCell ref="C183:D183"/>
    <mergeCell ref="A133:B133"/>
    <mergeCell ref="A193:B193"/>
    <mergeCell ref="C84:D84"/>
    <mergeCell ref="A264:B264"/>
    <mergeCell ref="C22:D22"/>
    <mergeCell ref="C127:D127"/>
    <mergeCell ref="C193:D193"/>
    <mergeCell ref="C133:D133"/>
    <mergeCell ref="C176:D176"/>
    <mergeCell ref="C247:D247"/>
    <mergeCell ref="C114:D114"/>
    <mergeCell ref="C257:D257"/>
    <mergeCell ref="C51:D51"/>
    <mergeCell ref="C178:D178"/>
    <mergeCell ref="C272:D272"/>
    <mergeCell ref="A209:B209"/>
    <mergeCell ref="A38:B38"/>
    <mergeCell ref="A147:B147"/>
    <mergeCell ref="C209:D209"/>
    <mergeCell ref="C38:D38"/>
    <mergeCell ref="A274:B274"/>
    <mergeCell ref="A211:B211"/>
    <mergeCell ref="C140:D140"/>
    <mergeCell ref="A67:B67"/>
    <mergeCell ref="A40:B40"/>
    <mergeCell ref="C267:D267"/>
    <mergeCell ref="A148:B148"/>
    <mergeCell ref="A82:B82"/>
    <mergeCell ref="C33:D33"/>
    <mergeCell ref="C204:D204"/>
    <mergeCell ref="C104:D104"/>
    <mergeCell ref="C269:D269"/>
    <mergeCell ref="A146:B146"/>
    <mergeCell ref="C231:D231"/>
    <mergeCell ref="C35:D35"/>
    <mergeCell ref="C206:D206"/>
    <mergeCell ref="A252:B252"/>
    <mergeCell ref="C99:D99"/>
    <mergeCell ref="C270:D270"/>
    <mergeCell ref="A66:B66"/>
    <mergeCell ref="A158:B158"/>
    <mergeCell ref="G3:H3"/>
    <mergeCell ref="I3:J3"/>
    <mergeCell ref="C130:D130"/>
    <mergeCell ref="A95:B95"/>
    <mergeCell ref="A160:B160"/>
    <mergeCell ref="I5:J5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A224:B224"/>
    <mergeCell ref="C153:D153"/>
    <mergeCell ref="C224:D224"/>
    <mergeCell ref="A72:B72"/>
    <mergeCell ref="C72:D72"/>
    <mergeCell ref="A199:B199"/>
    <mergeCell ref="Z10:AA10"/>
    <mergeCell ref="C199:D199"/>
    <mergeCell ref="A161:B161"/>
    <mergeCell ref="C186:D186"/>
    <mergeCell ref="C217:D217"/>
    <mergeCell ref="C136:D136"/>
    <mergeCell ref="C263:D263"/>
    <mergeCell ref="A88:B88"/>
    <mergeCell ref="A54:B54"/>
    <mergeCell ref="C54:D54"/>
    <mergeCell ref="A212:B212"/>
    <mergeCell ref="A90:B90"/>
    <mergeCell ref="A41:B41"/>
    <mergeCell ref="C212:D212"/>
    <mergeCell ref="C146:D146"/>
    <mergeCell ref="C41:D41"/>
    <mergeCell ref="A56:B56"/>
    <mergeCell ref="A27:B27"/>
    <mergeCell ref="C56:D56"/>
    <mergeCell ref="A154:B154"/>
    <mergeCell ref="A214:B214"/>
    <mergeCell ref="C105:D105"/>
    <mergeCell ref="C214:D214"/>
    <mergeCell ref="C43:D43"/>
    <mergeCell ref="C120:D120"/>
    <mergeCell ref="A85:B85"/>
    <mergeCell ref="C36:D36"/>
    <mergeCell ref="A22:B22"/>
    <mergeCell ref="C149:D149"/>
    <mergeCell ref="C67:D67"/>
    <mergeCell ref="A230:B230"/>
    <mergeCell ref="C69:D69"/>
    <mergeCell ref="A167:B167"/>
    <mergeCell ref="A232:B232"/>
    <mergeCell ref="I6:J6"/>
    <mergeCell ref="A182:B182"/>
    <mergeCell ref="A169:B169"/>
    <mergeCell ref="A225:B225"/>
    <mergeCell ref="C225:D225"/>
    <mergeCell ref="C200:D200"/>
    <mergeCell ref="C4:D4"/>
    <mergeCell ref="E4:F4"/>
    <mergeCell ref="A227:B227"/>
    <mergeCell ref="C227:D227"/>
    <mergeCell ref="A177:B177"/>
    <mergeCell ref="C202:D202"/>
    <mergeCell ref="A179:B179"/>
    <mergeCell ref="C60:D60"/>
    <mergeCell ref="A116:B116"/>
    <mergeCell ref="C268:D268"/>
    <mergeCell ref="A91:B91"/>
    <mergeCell ref="C91:D91"/>
    <mergeCell ref="X4:Y4"/>
    <mergeCell ref="C82:D82"/>
    <mergeCell ref="A180:B180"/>
    <mergeCell ref="C57:D57"/>
    <mergeCell ref="A155:B155"/>
    <mergeCell ref="A93:B93"/>
    <mergeCell ref="C155:D155"/>
    <mergeCell ref="C220:D220"/>
    <mergeCell ref="K6:L6"/>
    <mergeCell ref="A157:B157"/>
    <mergeCell ref="C86:D86"/>
    <mergeCell ref="C157:D157"/>
    <mergeCell ref="A222:B222"/>
    <mergeCell ref="C151:D151"/>
    <mergeCell ref="C58:D58"/>
    <mergeCell ref="C215:D215"/>
    <mergeCell ref="C152:D152"/>
    <mergeCell ref="A246:B246"/>
    <mergeCell ref="A75:B75"/>
    <mergeCell ref="C75:D75"/>
    <mergeCell ref="A233:B233"/>
    <mergeCell ref="A248:B248"/>
    <mergeCell ref="A104:B104"/>
    <mergeCell ref="A175:B175"/>
    <mergeCell ref="A235:B235"/>
    <mergeCell ref="A247:B247"/>
    <mergeCell ref="A14:B14"/>
    <mergeCell ref="A185:B185"/>
    <mergeCell ref="C241:D241"/>
    <mergeCell ref="C70:D70"/>
    <mergeCell ref="A106:B106"/>
    <mergeCell ref="C106:D106"/>
    <mergeCell ref="C228:D228"/>
    <mergeCell ref="K7:L7"/>
    <mergeCell ref="C32:D32"/>
    <mergeCell ref="A43:B43"/>
    <mergeCell ref="C243:D243"/>
    <mergeCell ref="A170:B170"/>
    <mergeCell ref="C170:D170"/>
    <mergeCell ref="C101:D101"/>
    <mergeCell ref="A130:B130"/>
    <mergeCell ref="A201:B201"/>
    <mergeCell ref="A138:B138"/>
    <mergeCell ref="A132:B132"/>
    <mergeCell ref="C246:D246"/>
    <mergeCell ref="A221:B221"/>
    <mergeCell ref="A196:B196"/>
    <mergeCell ref="A25:B25"/>
    <mergeCell ref="C221:D221"/>
    <mergeCell ref="C25:D25"/>
    <mergeCell ref="C196:D196"/>
    <mergeCell ref="C236:D236"/>
    <mergeCell ref="A223:B223"/>
    <mergeCell ref="A198:B198"/>
    <mergeCell ref="C223:D223"/>
    <mergeCell ref="C198:D198"/>
    <mergeCell ref="A2:B2"/>
    <mergeCell ref="C2:D2"/>
    <mergeCell ref="E2:F2"/>
    <mergeCell ref="A254:B254"/>
    <mergeCell ref="A20:B20"/>
    <mergeCell ref="A125:B125"/>
    <mergeCell ref="A112:B112"/>
    <mergeCell ref="A13:B13"/>
    <mergeCell ref="C13:D13"/>
    <mergeCell ref="A127:B127"/>
    <mergeCell ref="K4:L4"/>
    <mergeCell ref="C78:D78"/>
    <mergeCell ref="A176:B176"/>
    <mergeCell ref="A114:B114"/>
  </mergeCells>
  <pageMargins left="0.25" right="0.25" top="0.75" bottom="0.75" header="0.3" footer="0.3"/>
  <pageSetup orientation="landscape" paperSize="9" scale="52" fitToHeight="0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BU115"/>
  <sheetViews>
    <sheetView zoomScale="80" zoomScaleNormal="80" workbookViewId="0">
      <pane ySplit="1" topLeftCell="A2" activePane="bottomLeft" state="frozen"/>
      <selection pane="bottomLeft" activeCell="L18" sqref="L18"/>
    </sheetView>
  </sheetViews>
  <sheetFormatPr baseColWidth="10" defaultColWidth="8.6640625" defaultRowHeight="18"/>
  <cols>
    <col width="9.6640625" customWidth="1" style="200" min="1" max="1"/>
    <col width="6.5" customWidth="1" style="200" min="2" max="2"/>
    <col width="8.1640625" customWidth="1" style="200" min="3" max="3"/>
    <col width="10.1640625" customWidth="1" style="200" min="4" max="5"/>
    <col width="11.83203125" customWidth="1" style="200" min="6" max="6"/>
    <col width="12.6640625" customWidth="1" style="200" min="7" max="7"/>
    <col width="13" customWidth="1" style="200" min="8" max="8"/>
    <col width="12.5" customWidth="1" style="200" min="9" max="9"/>
    <col width="12.33203125" customWidth="1" style="200" min="10" max="10"/>
    <col width="11.83203125" customWidth="1" style="200" min="11" max="12"/>
    <col width="12.5" customWidth="1" style="200" min="13" max="14"/>
    <col width="12.5" customWidth="1" style="12" min="15" max="15"/>
    <col width="8.6640625" customWidth="1" style="200" min="16" max="17"/>
    <col width="8.6640625" customWidth="1" style="200" min="18" max="16384"/>
  </cols>
  <sheetData>
    <row r="1" ht="19.5" customHeight="1" s="180" thickBot="1">
      <c r="A1" s="235" t="inlineStr">
        <is>
          <t>日付</t>
        </is>
      </c>
      <c r="B1" s="194" t="n"/>
      <c r="C1" s="235" t="inlineStr">
        <is>
          <t>お客様</t>
        </is>
      </c>
      <c r="D1" s="194" t="n"/>
      <c r="E1" s="235" t="inlineStr">
        <is>
          <t>担当</t>
        </is>
      </c>
      <c r="F1" s="235" t="inlineStr">
        <is>
          <t>備考</t>
        </is>
      </c>
      <c r="G1" s="235" t="inlineStr">
        <is>
          <t>売上</t>
        </is>
      </c>
      <c r="H1" s="46" t="inlineStr">
        <is>
          <t>体験</t>
        </is>
      </c>
      <c r="I1" s="10" t="inlineStr">
        <is>
          <t>前金</t>
        </is>
      </c>
      <c r="J1" s="10" t="inlineStr">
        <is>
          <t>ハーブ</t>
        </is>
      </c>
      <c r="K1" s="10" t="inlineStr">
        <is>
          <t>都度</t>
        </is>
      </c>
      <c r="L1" s="10" t="inlineStr">
        <is>
          <t>回数券</t>
        </is>
      </c>
      <c r="M1" s="9" t="inlineStr">
        <is>
          <t>OP</t>
        </is>
      </c>
      <c r="N1" s="11" t="inlineStr">
        <is>
          <t>物販</t>
        </is>
      </c>
      <c r="O1" s="7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</row>
    <row r="2">
      <c r="A2" s="188" t="n"/>
      <c r="B2" s="189" t="n"/>
      <c r="C2" s="197" t="n"/>
      <c r="D2" s="189" t="n"/>
      <c r="E2" s="5" t="n"/>
      <c r="F2" s="108" t="n"/>
      <c r="G2" s="108" t="n"/>
      <c r="H2" s="164" t="n"/>
      <c r="I2" s="165" t="n"/>
      <c r="J2" s="165" t="n"/>
      <c r="K2" s="165" t="n"/>
      <c r="L2" s="165" t="n"/>
      <c r="M2" s="166" t="n"/>
      <c r="N2" s="167" t="n"/>
      <c r="O2" s="7" t="n"/>
      <c r="P2" s="2" t="n"/>
      <c r="Q2" s="2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</row>
    <row r="3" ht="17.75" customFormat="1" customHeight="1" s="12">
      <c r="A3" s="188" t="n"/>
      <c r="B3" s="189" t="n"/>
      <c r="C3" s="205" t="n"/>
      <c r="D3" s="189" t="n"/>
      <c r="E3" s="5" t="n"/>
      <c r="F3" s="205" t="n"/>
      <c r="G3" s="205" t="n"/>
      <c r="H3" s="68" t="n"/>
      <c r="I3" s="15" t="n"/>
      <c r="J3" s="56" t="n"/>
      <c r="K3" s="56" t="n"/>
      <c r="L3" s="57" t="n"/>
      <c r="M3" s="57" t="n"/>
      <c r="N3" s="58" t="n"/>
      <c r="O3" s="7" t="n"/>
      <c r="P3" s="2" t="n"/>
      <c r="Q3" s="2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7.75" customFormat="1" customHeight="1" s="12">
      <c r="A4" s="188" t="n"/>
      <c r="B4" s="189" t="n"/>
      <c r="C4" s="197" t="n"/>
      <c r="D4" s="189" t="n"/>
      <c r="E4" s="5" t="n"/>
      <c r="F4" s="55" t="n"/>
      <c r="G4" s="205" t="n"/>
      <c r="H4" s="68" t="n"/>
      <c r="I4" s="15" t="n"/>
      <c r="J4" s="56" t="n"/>
      <c r="K4" s="56" t="n"/>
      <c r="L4" s="57" t="n"/>
      <c r="M4" s="57" t="n"/>
      <c r="N4" s="58" t="n"/>
      <c r="O4" s="7" t="n"/>
      <c r="P4" s="2" t="n"/>
      <c r="Q4" s="2" t="n"/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7.75" customFormat="1" customHeight="1" s="12">
      <c r="A5" s="188" t="n"/>
      <c r="B5" s="189" t="n"/>
      <c r="C5" s="205" t="n"/>
      <c r="D5" s="189" t="n"/>
      <c r="E5" s="5" t="n"/>
      <c r="F5" s="55" t="n"/>
      <c r="G5" s="205" t="n"/>
      <c r="H5" s="68" t="n"/>
      <c r="I5" s="15" t="n"/>
      <c r="J5" s="56" t="n"/>
      <c r="K5" s="56" t="n"/>
      <c r="L5" s="57" t="n"/>
      <c r="M5" s="57" t="n"/>
      <c r="N5" s="38" t="n"/>
      <c r="O5" s="7" t="n"/>
      <c r="P5" s="2" t="n"/>
      <c r="Q5" s="2" t="n"/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7.75" customFormat="1" customHeight="1" s="12">
      <c r="A6" s="188" t="n"/>
      <c r="B6" s="189" t="n"/>
      <c r="C6" s="197" t="n"/>
      <c r="D6" s="189" t="n"/>
      <c r="E6" s="5" t="n"/>
      <c r="F6" s="197" t="n"/>
      <c r="G6" s="205" t="n"/>
      <c r="H6" s="244" t="n"/>
      <c r="I6" s="14" t="n"/>
      <c r="J6" s="14" t="n"/>
      <c r="K6" s="56" t="n"/>
      <c r="L6" s="15" t="n"/>
      <c r="M6" s="14" t="n"/>
      <c r="N6" s="38" t="n"/>
      <c r="O6" s="7" t="n"/>
      <c r="P6" s="2" t="n"/>
      <c r="Q6" s="2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7.75" customFormat="1" customHeight="1" s="12">
      <c r="A7" s="188" t="n"/>
      <c r="B7" s="189" t="n"/>
      <c r="C7" s="197" t="n"/>
      <c r="D7" s="189" t="n"/>
      <c r="E7" s="5" t="n"/>
      <c r="F7" s="197" t="n"/>
      <c r="G7" s="205" t="n"/>
      <c r="H7" s="244" t="n"/>
      <c r="I7" s="14" t="n"/>
      <c r="J7" s="14" t="n"/>
      <c r="K7" s="56" t="n"/>
      <c r="L7" s="15" t="n"/>
      <c r="M7" s="14" t="n"/>
      <c r="N7" s="38" t="n"/>
      <c r="O7" s="7" t="n"/>
      <c r="P7" s="2" t="n"/>
      <c r="Q7" s="2" t="n"/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7.75" customFormat="1" customHeight="1" s="12">
      <c r="A8" s="188" t="n"/>
      <c r="B8" s="189" t="n"/>
      <c r="C8" s="197" t="n"/>
      <c r="D8" s="189" t="n"/>
      <c r="E8" s="5" t="n"/>
      <c r="F8" s="205" t="n"/>
      <c r="G8" s="205" t="n"/>
      <c r="H8" s="244" t="n"/>
      <c r="I8" s="14" t="n"/>
      <c r="J8" s="14" t="n"/>
      <c r="K8" s="56" t="n"/>
      <c r="L8" s="15" t="n"/>
      <c r="M8" s="14" t="n"/>
      <c r="N8" s="38" t="n"/>
      <c r="O8" s="7" t="n"/>
      <c r="P8" s="2" t="n"/>
      <c r="Q8" s="2" t="n"/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7.75" customFormat="1" customHeight="1" s="12">
      <c r="A9" s="188" t="n"/>
      <c r="B9" s="189" t="n"/>
      <c r="C9" s="197" t="n"/>
      <c r="D9" s="189" t="n"/>
      <c r="E9" s="5" t="n"/>
      <c r="F9" s="205" t="n"/>
      <c r="G9" s="205" t="n"/>
      <c r="H9" s="244" t="n"/>
      <c r="I9" s="14" t="n"/>
      <c r="J9" s="56" t="n"/>
      <c r="K9" s="56" t="n"/>
      <c r="L9" s="57" t="n"/>
      <c r="M9" s="56" t="n"/>
      <c r="N9" s="58" t="n"/>
      <c r="O9" s="7" t="n"/>
      <c r="P9" s="2" t="n"/>
      <c r="Q9" s="2" t="n"/>
      <c r="R9" s="13" t="n"/>
      <c r="S9" s="13" t="n"/>
      <c r="T9" s="13" t="n"/>
      <c r="U9" s="13" t="n"/>
      <c r="V9" s="13" t="n"/>
      <c r="W9" s="13" t="n"/>
      <c r="X9" s="13" t="n"/>
      <c r="Y9" s="13" t="n"/>
    </row>
    <row r="10" ht="17.75" customFormat="1" customHeight="1" s="12">
      <c r="A10" s="188" t="n"/>
      <c r="B10" s="189" t="n"/>
      <c r="C10" s="197" t="n"/>
      <c r="D10" s="189" t="n"/>
      <c r="E10" s="5" t="n"/>
      <c r="F10" s="205" t="n"/>
      <c r="G10" s="205" t="n"/>
      <c r="H10" s="244" t="n"/>
      <c r="I10" s="14" t="n"/>
      <c r="J10" s="56" t="n"/>
      <c r="K10" s="56" t="n"/>
      <c r="L10" s="57" t="n"/>
      <c r="M10" s="56" t="n"/>
      <c r="N10" s="58" t="n"/>
      <c r="O10" s="7" t="n"/>
      <c r="P10" s="2" t="n"/>
      <c r="Q10" s="2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>
      <c r="A11" s="188" t="n"/>
      <c r="B11" s="189" t="n"/>
      <c r="C11" s="197" t="n"/>
      <c r="D11" s="189" t="n"/>
      <c r="E11" s="5" t="n"/>
      <c r="F11" s="205" t="n"/>
      <c r="G11" s="205" t="n"/>
      <c r="H11" s="68" t="n"/>
      <c r="I11" s="15" t="n"/>
      <c r="J11" s="56" t="n"/>
      <c r="K11" s="56" t="n"/>
      <c r="L11" s="57" t="n"/>
      <c r="M11" s="56" t="n"/>
      <c r="N11" s="58" t="n"/>
      <c r="O11" s="7" t="n"/>
      <c r="P11" s="2" t="n"/>
      <c r="Q11" s="2" t="n"/>
    </row>
    <row r="12">
      <c r="A12" s="188" t="n"/>
      <c r="B12" s="189" t="n"/>
      <c r="C12" s="197" t="n"/>
      <c r="D12" s="189" t="n"/>
      <c r="E12" s="5" t="n"/>
      <c r="F12" s="205" t="n"/>
      <c r="G12" s="205" t="n"/>
      <c r="H12" s="68" t="n"/>
      <c r="I12" s="15" t="n"/>
      <c r="J12" s="56" t="n"/>
      <c r="K12" s="56" t="n"/>
      <c r="L12" s="57" t="n"/>
      <c r="M12" s="56" t="n"/>
      <c r="N12" s="58" t="n"/>
      <c r="O12" s="7" t="n"/>
      <c r="P12" s="2" t="n"/>
      <c r="Q12" s="2" t="n"/>
    </row>
    <row r="13" ht="18.75" customHeight="1" s="180">
      <c r="A13" s="188" t="n"/>
      <c r="B13" s="189" t="n"/>
      <c r="C13" s="197" t="n"/>
      <c r="D13" s="189" t="n"/>
      <c r="E13" s="5" t="n"/>
      <c r="F13" s="55" t="n"/>
      <c r="G13" s="53" t="n"/>
      <c r="H13" s="68" t="n"/>
      <c r="I13" s="15" t="n"/>
      <c r="J13" s="56" t="n"/>
      <c r="K13" s="56" t="n"/>
      <c r="L13" s="57" t="n"/>
      <c r="M13" s="56" t="n"/>
      <c r="N13" s="58" t="n"/>
      <c r="O13" s="7" t="n"/>
      <c r="P13" s="2" t="n"/>
      <c r="Q13" s="2" t="n"/>
    </row>
    <row r="14" ht="18.75" customHeight="1" s="180">
      <c r="A14" s="188" t="n"/>
      <c r="B14" s="189" t="n"/>
      <c r="C14" s="197" t="n"/>
      <c r="D14" s="189" t="n"/>
      <c r="E14" s="5" t="n"/>
      <c r="F14" s="55" t="n"/>
      <c r="G14" s="53" t="n"/>
      <c r="H14" s="68" t="n"/>
      <c r="I14" s="15" t="n"/>
      <c r="J14" s="56" t="n"/>
      <c r="K14" s="56" t="n"/>
      <c r="L14" s="57" t="n"/>
      <c r="M14" s="56" t="n"/>
      <c r="N14" s="58" t="n"/>
      <c r="O14" s="7" t="n"/>
      <c r="P14" s="2" t="n"/>
      <c r="Q14" s="2" t="n"/>
    </row>
    <row r="15" ht="18.75" customHeight="1" s="180">
      <c r="A15" s="188" t="n"/>
      <c r="B15" s="189" t="n"/>
      <c r="C15" s="205" t="n"/>
      <c r="D15" s="189" t="n"/>
      <c r="E15" s="5" t="n"/>
      <c r="F15" s="55" t="n"/>
      <c r="G15" s="205" t="n"/>
      <c r="H15" s="68" t="n"/>
      <c r="I15" s="15" t="n"/>
      <c r="J15" s="56" t="n"/>
      <c r="K15" s="56" t="n"/>
      <c r="L15" s="57" t="n"/>
      <c r="M15" s="56" t="n"/>
      <c r="N15" s="58" t="n"/>
      <c r="O15" s="7" t="n"/>
      <c r="P15" s="2" t="n"/>
      <c r="Q15" s="2" t="n"/>
    </row>
    <row r="16" customFormat="1" s="73">
      <c r="A16" s="188" t="n"/>
      <c r="B16" s="189" t="n"/>
      <c r="C16" s="205" t="n"/>
      <c r="D16" s="189" t="n"/>
      <c r="E16" s="5" t="n"/>
      <c r="F16" s="55" t="n"/>
      <c r="G16" s="205" t="n"/>
      <c r="H16" s="68" t="n"/>
      <c r="I16" s="15" t="n"/>
      <c r="J16" s="56" t="n"/>
      <c r="K16" s="56" t="n"/>
      <c r="L16" s="57" t="n"/>
      <c r="M16" s="56" t="n"/>
      <c r="N16" s="58" t="n"/>
      <c r="O16" s="7" t="n"/>
      <c r="P16" s="2" t="n"/>
      <c r="Q16" s="2" t="n"/>
    </row>
    <row r="17">
      <c r="A17" s="188" t="n"/>
      <c r="B17" s="189" t="n"/>
      <c r="C17" s="197" t="n"/>
      <c r="D17" s="189" t="n"/>
      <c r="E17" s="161" t="n"/>
      <c r="F17" s="55" t="n"/>
      <c r="G17" s="205" t="n"/>
      <c r="H17" s="68" t="n"/>
      <c r="I17" s="15" t="n"/>
      <c r="J17" s="56" t="n"/>
      <c r="K17" s="56" t="n"/>
      <c r="L17" s="57" t="n"/>
      <c r="M17" s="56" t="n"/>
      <c r="N17" s="58" t="n"/>
      <c r="O17" s="7" t="n"/>
      <c r="P17" s="2" t="n"/>
      <c r="Q17" s="2" t="n"/>
    </row>
    <row r="18">
      <c r="A18" s="188" t="n"/>
      <c r="B18" s="189" t="n"/>
      <c r="C18" s="197" t="n"/>
      <c r="D18" s="189" t="n"/>
      <c r="E18" s="161" t="n"/>
      <c r="F18" s="197" t="n"/>
      <c r="G18" s="205" t="n"/>
      <c r="H18" s="244" t="n"/>
      <c r="I18" s="14" t="n"/>
      <c r="J18" s="14" t="n"/>
      <c r="K18" s="14" t="n"/>
      <c r="L18" s="15" t="n"/>
      <c r="M18" s="14" t="n"/>
      <c r="N18" s="58" t="n"/>
      <c r="O18" s="7" t="n"/>
      <c r="P18" s="2" t="n"/>
      <c r="Q18" s="2" t="n"/>
    </row>
    <row r="19">
      <c r="A19" s="188" t="n"/>
      <c r="B19" s="189" t="n"/>
      <c r="C19" s="197" t="n"/>
      <c r="D19" s="189" t="n"/>
      <c r="E19" s="161" t="n"/>
      <c r="F19" s="55" t="n"/>
      <c r="G19" s="205" t="n"/>
      <c r="H19" s="68" t="n"/>
      <c r="I19" s="15" t="n"/>
      <c r="J19" s="56" t="n"/>
      <c r="K19" s="56" t="n"/>
      <c r="L19" s="57" t="n"/>
      <c r="M19" s="56" t="n"/>
      <c r="N19" s="58" t="n"/>
      <c r="O19" s="7" t="n"/>
      <c r="P19" s="2" t="n"/>
      <c r="Q19" s="2" t="n"/>
    </row>
    <row r="20">
      <c r="A20" s="188" t="n"/>
      <c r="B20" s="189" t="n"/>
      <c r="C20" s="197" t="n"/>
      <c r="D20" s="189" t="n"/>
      <c r="E20" s="161" t="n"/>
      <c r="F20" s="55" t="n"/>
      <c r="G20" s="205" t="n"/>
      <c r="H20" s="68" t="n"/>
      <c r="I20" s="15" t="n"/>
      <c r="J20" s="56" t="n"/>
      <c r="K20" s="56" t="n"/>
      <c r="L20" s="57" t="n"/>
      <c r="M20" s="56" t="n"/>
      <c r="N20" s="58" t="n"/>
      <c r="O20" s="7" t="n"/>
      <c r="P20" s="2" t="n"/>
      <c r="Q20" s="2" t="n"/>
    </row>
    <row r="21">
      <c r="A21" s="188" t="n"/>
      <c r="B21" s="189" t="n"/>
      <c r="C21" s="197" t="n"/>
      <c r="D21" s="189" t="n"/>
      <c r="E21" s="161" t="n"/>
      <c r="F21" s="205" t="n"/>
      <c r="G21" s="205" t="n"/>
      <c r="H21" s="68" t="n"/>
      <c r="I21" s="15" t="n"/>
      <c r="J21" s="56" t="n"/>
      <c r="K21" s="56" t="n"/>
      <c r="L21" s="57" t="n"/>
      <c r="M21" s="56" t="n"/>
      <c r="N21" s="58" t="n"/>
      <c r="O21" s="7" t="n"/>
      <c r="P21" s="2" t="n"/>
      <c r="Q21" s="2" t="n"/>
    </row>
    <row r="22">
      <c r="A22" s="188" t="n"/>
      <c r="B22" s="189" t="n"/>
      <c r="C22" s="205" t="n"/>
      <c r="D22" s="189" t="n"/>
      <c r="E22" s="161" t="n"/>
      <c r="F22" s="205" t="n"/>
      <c r="G22" s="205" t="n"/>
      <c r="H22" s="68" t="n"/>
      <c r="I22" s="15" t="n"/>
      <c r="J22" s="56" t="n"/>
      <c r="K22" s="56" t="n"/>
      <c r="L22" s="57" t="n"/>
      <c r="M22" s="56" t="n"/>
      <c r="N22" s="58" t="n"/>
      <c r="O22" s="7" t="n"/>
      <c r="P22" s="2" t="n"/>
      <c r="Q22" s="2" t="n"/>
    </row>
    <row r="23">
      <c r="A23" s="188" t="n"/>
      <c r="B23" s="189" t="n"/>
      <c r="C23" s="197" t="n"/>
      <c r="D23" s="189" t="n"/>
      <c r="E23" s="161" t="n"/>
      <c r="F23" s="205" t="n"/>
      <c r="G23" s="205" t="n"/>
      <c r="H23" s="68" t="n"/>
      <c r="I23" s="15" t="n"/>
      <c r="J23" s="56" t="n"/>
      <c r="K23" s="56" t="n"/>
      <c r="L23" s="57" t="n"/>
      <c r="M23" s="56" t="n"/>
      <c r="N23" s="58" t="n"/>
      <c r="O23" s="7" t="n"/>
      <c r="P23" s="2" t="n"/>
      <c r="Q23" s="2" t="n"/>
    </row>
    <row r="24">
      <c r="A24" s="188" t="n"/>
      <c r="B24" s="189" t="n"/>
      <c r="C24" s="197" t="n"/>
      <c r="D24" s="189" t="n"/>
      <c r="E24" s="161" t="n"/>
      <c r="F24" s="55" t="n"/>
      <c r="G24" s="205" t="n"/>
      <c r="H24" s="68" t="n"/>
      <c r="I24" s="15" t="n"/>
      <c r="J24" s="56" t="n"/>
      <c r="K24" s="56" t="n"/>
      <c r="L24" s="57" t="n"/>
      <c r="M24" s="56" t="n"/>
      <c r="N24" s="58" t="n"/>
      <c r="O24" s="7" t="n"/>
      <c r="P24" s="2" t="n"/>
      <c r="Q24" s="2" t="n"/>
    </row>
    <row r="25">
      <c r="A25" s="188" t="n"/>
      <c r="B25" s="189" t="n"/>
      <c r="C25" s="197" t="n"/>
      <c r="D25" s="189" t="n"/>
      <c r="E25" s="161" t="n"/>
      <c r="F25" s="55" t="n"/>
      <c r="G25" s="205" t="n"/>
      <c r="H25" s="68" t="n"/>
      <c r="I25" s="15" t="n"/>
      <c r="J25" s="56" t="n"/>
      <c r="K25" s="56" t="n"/>
      <c r="L25" s="57" t="n"/>
      <c r="M25" s="56" t="n"/>
      <c r="N25" s="58" t="n"/>
      <c r="O25" s="7" t="n"/>
      <c r="P25" s="2" t="n"/>
      <c r="Q25" s="2" t="n"/>
    </row>
    <row r="26" customFormat="1" s="73">
      <c r="A26" s="188" t="n"/>
      <c r="B26" s="189" t="n"/>
      <c r="C26" s="197" t="n"/>
      <c r="D26" s="189" t="n"/>
      <c r="E26" s="161" t="n"/>
      <c r="F26" s="55" t="n"/>
      <c r="G26" s="53" t="n"/>
      <c r="H26" s="68" t="n"/>
      <c r="I26" s="15" t="n"/>
      <c r="J26" s="56" t="n"/>
      <c r="K26" s="56" t="n"/>
      <c r="L26" s="57" t="n"/>
      <c r="M26" s="56" t="n"/>
      <c r="N26" s="58" t="n"/>
      <c r="O26" s="7" t="n"/>
      <c r="P26" s="2" t="n"/>
      <c r="Q26" s="2" t="n"/>
    </row>
    <row r="27" customFormat="1" s="73">
      <c r="A27" s="188" t="n"/>
      <c r="B27" s="189" t="n"/>
      <c r="C27" s="197" t="n"/>
      <c r="D27" s="189" t="n"/>
      <c r="E27" s="161" t="n"/>
      <c r="F27" s="55" t="n"/>
      <c r="G27" s="53" t="n"/>
      <c r="H27" s="68" t="n"/>
      <c r="I27" s="15" t="n"/>
      <c r="J27" s="56" t="n"/>
      <c r="K27" s="56" t="n"/>
      <c r="L27" s="57" t="n"/>
      <c r="M27" s="56" t="n"/>
      <c r="N27" s="58" t="n"/>
      <c r="O27" s="7" t="n"/>
      <c r="P27" s="2" t="n"/>
      <c r="Q27" s="2" t="n"/>
    </row>
    <row r="28" customFormat="1" s="73">
      <c r="A28" s="188" t="n"/>
      <c r="B28" s="189" t="n"/>
      <c r="C28" s="197" t="n"/>
      <c r="D28" s="189" t="n"/>
      <c r="E28" s="161" t="n"/>
      <c r="F28" s="55" t="n"/>
      <c r="G28" s="53" t="n"/>
      <c r="H28" s="68" t="n"/>
      <c r="I28" s="15" t="n"/>
      <c r="J28" s="56" t="n"/>
      <c r="K28" s="56" t="n"/>
      <c r="L28" s="57" t="n"/>
      <c r="M28" s="56" t="n"/>
      <c r="N28" s="58" t="n"/>
      <c r="O28" s="7" t="n"/>
      <c r="P28" s="2" t="n"/>
      <c r="Q28" s="2" t="n"/>
    </row>
    <row r="29">
      <c r="A29" s="188" t="n"/>
      <c r="B29" s="189" t="n"/>
      <c r="C29" s="196" t="n"/>
      <c r="D29" s="189" t="n"/>
      <c r="E29" s="5" t="n"/>
      <c r="F29" s="55" t="n"/>
      <c r="G29" s="205" t="n"/>
      <c r="H29" s="68" t="n"/>
      <c r="I29" s="15" t="n"/>
      <c r="J29" s="56" t="n"/>
      <c r="K29" s="56" t="n"/>
      <c r="L29" s="57" t="n"/>
      <c r="M29" s="56" t="n"/>
      <c r="N29" s="58" t="n"/>
      <c r="O29" s="7" t="n"/>
      <c r="P29" s="2" t="n"/>
      <c r="Q29" s="2" t="n"/>
    </row>
    <row r="30">
      <c r="A30" s="188" t="n"/>
      <c r="B30" s="189" t="n"/>
      <c r="C30" s="198" t="n"/>
      <c r="D30" s="189" t="n"/>
      <c r="E30" s="161" t="n"/>
      <c r="F30" s="55" t="n"/>
      <c r="G30" s="205" t="n"/>
      <c r="H30" s="68" t="n"/>
      <c r="I30" s="15" t="n"/>
      <c r="J30" s="56" t="n"/>
      <c r="K30" s="56" t="n"/>
      <c r="L30" s="57" t="n"/>
      <c r="M30" s="56" t="n"/>
      <c r="N30" s="58" t="n"/>
      <c r="O30" s="7" t="n"/>
      <c r="P30" s="2" t="n"/>
      <c r="Q30" s="2" t="n"/>
    </row>
    <row r="31">
      <c r="A31" s="188" t="n"/>
      <c r="B31" s="189" t="n"/>
      <c r="C31" s="196" t="n"/>
      <c r="D31" s="189" t="n"/>
      <c r="E31" s="161" t="n"/>
      <c r="F31" s="55" t="n"/>
      <c r="G31" s="53" t="n"/>
      <c r="H31" s="68" t="n"/>
      <c r="I31" s="15" t="n"/>
      <c r="J31" s="56" t="n"/>
      <c r="K31" s="56" t="n"/>
      <c r="L31" s="57" t="n"/>
      <c r="M31" s="56" t="n"/>
      <c r="N31" s="58" t="n"/>
      <c r="O31" s="7" t="n"/>
      <c r="P31" s="2" t="n"/>
      <c r="Q31" s="2" t="n"/>
    </row>
    <row r="32" customFormat="1" s="73">
      <c r="A32" s="188" t="n"/>
      <c r="B32" s="189" t="n"/>
      <c r="C32" s="198" t="n"/>
      <c r="D32" s="189" t="n"/>
      <c r="E32" s="161" t="n"/>
      <c r="F32" s="55" t="n"/>
      <c r="G32" s="53" t="n"/>
      <c r="H32" s="68" t="n"/>
      <c r="I32" s="15" t="n"/>
      <c r="J32" s="56" t="n"/>
      <c r="K32" s="56" t="n"/>
      <c r="L32" s="57" t="n"/>
      <c r="M32" s="56" t="n"/>
      <c r="N32" s="58" t="n"/>
      <c r="O32" s="7" t="n"/>
      <c r="P32" s="2" t="n"/>
      <c r="Q32" s="2" t="n"/>
    </row>
    <row r="33">
      <c r="A33" s="188" t="n"/>
      <c r="B33" s="189" t="n"/>
      <c r="C33" s="198" t="n"/>
      <c r="D33" s="189" t="n"/>
      <c r="E33" s="161" t="n"/>
      <c r="F33" s="55" t="n"/>
      <c r="G33" s="53" t="n"/>
      <c r="H33" s="68" t="n"/>
      <c r="I33" s="15" t="n"/>
      <c r="J33" s="56" t="n"/>
      <c r="K33" s="56" t="n"/>
      <c r="L33" s="57" t="n"/>
      <c r="M33" s="56" t="n"/>
      <c r="N33" s="58" t="n"/>
      <c r="O33" s="7" t="n"/>
      <c r="P33" s="2" t="n"/>
      <c r="Q33" s="2" t="n"/>
    </row>
    <row r="34">
      <c r="A34" s="188" t="n"/>
      <c r="B34" s="189" t="n"/>
      <c r="C34" s="198" t="n"/>
      <c r="D34" s="189" t="n"/>
      <c r="E34" s="5" t="n"/>
      <c r="F34" s="55" t="n"/>
      <c r="G34" s="53" t="n"/>
      <c r="H34" s="68" t="n"/>
      <c r="I34" s="15" t="n"/>
      <c r="J34" s="56" t="n"/>
      <c r="K34" s="56" t="n"/>
      <c r="L34" s="57" t="n"/>
      <c r="M34" s="56" t="n"/>
      <c r="N34" s="58" t="n"/>
      <c r="O34" s="7" t="n"/>
      <c r="P34" s="2" t="n"/>
      <c r="Q34" s="2" t="n"/>
    </row>
    <row r="35">
      <c r="A35" s="188" t="n"/>
      <c r="B35" s="189" t="n"/>
      <c r="C35" s="198" t="n"/>
      <c r="D35" s="189" t="n"/>
      <c r="E35" s="5" t="n"/>
      <c r="F35" s="205" t="n"/>
      <c r="G35" s="53" t="n"/>
      <c r="H35" s="68" t="n"/>
      <c r="I35" s="15" t="n"/>
      <c r="J35" s="56" t="n"/>
      <c r="K35" s="56" t="n"/>
      <c r="L35" s="57" t="n"/>
      <c r="M35" s="56" t="n"/>
      <c r="N35" s="58" t="n"/>
      <c r="O35" s="7" t="n"/>
      <c r="P35" s="2" t="n"/>
      <c r="Q35" s="2" t="n"/>
    </row>
    <row r="36" customFormat="1" s="2">
      <c r="A36" s="188" t="n"/>
      <c r="B36" s="189" t="n"/>
      <c r="C36" s="197" t="n"/>
      <c r="D36" s="189" t="n"/>
      <c r="E36" s="5" t="n"/>
      <c r="F36" s="55" t="n"/>
      <c r="G36" s="53" t="n"/>
      <c r="H36" s="68" t="n"/>
      <c r="I36" s="15" t="n"/>
      <c r="J36" s="56" t="n"/>
      <c r="K36" s="56" t="n"/>
      <c r="L36" s="57" t="n"/>
      <c r="M36" s="56" t="n"/>
      <c r="N36" s="58" t="n"/>
      <c r="O36" s="7" t="n"/>
    </row>
    <row r="37" customFormat="1" s="73">
      <c r="A37" s="188" t="n"/>
      <c r="B37" s="189" t="n"/>
      <c r="C37" s="196" t="n"/>
      <c r="D37" s="189" t="n"/>
      <c r="E37" s="5" t="n"/>
      <c r="F37" s="55" t="n"/>
      <c r="G37" s="53" t="n"/>
      <c r="H37" s="68" t="n"/>
      <c r="I37" s="15" t="n"/>
      <c r="J37" s="56" t="n"/>
      <c r="K37" s="56" t="n"/>
      <c r="L37" s="57" t="n"/>
      <c r="M37" s="56" t="n"/>
      <c r="N37" s="58" t="n"/>
      <c r="O37" s="7" t="n"/>
      <c r="P37" s="2" t="n"/>
      <c r="Q37" s="2" t="n"/>
    </row>
    <row r="38">
      <c r="A38" s="188" t="n"/>
      <c r="B38" s="189" t="n"/>
      <c r="C38" s="198" t="n"/>
      <c r="D38" s="189" t="n"/>
      <c r="E38" s="5" t="n"/>
      <c r="F38" s="55" t="n"/>
      <c r="G38" s="53" t="n"/>
      <c r="H38" s="68" t="n"/>
      <c r="I38" s="15" t="n"/>
      <c r="J38" s="56" t="n"/>
      <c r="K38" s="56" t="n"/>
      <c r="L38" s="57" t="n"/>
      <c r="M38" s="56" t="n"/>
      <c r="N38" s="58" t="n"/>
      <c r="O38" s="7" t="n"/>
      <c r="P38" s="2" t="n"/>
      <c r="Q38" s="2" t="n"/>
    </row>
    <row r="39">
      <c r="A39" s="188" t="n"/>
      <c r="B39" s="189" t="n"/>
      <c r="C39" s="205" t="n"/>
      <c r="D39" s="189" t="n"/>
      <c r="E39" s="5" t="n"/>
      <c r="F39" s="55" t="n"/>
      <c r="G39" s="53" t="n"/>
      <c r="H39" s="68" t="n"/>
      <c r="I39" s="15" t="n"/>
      <c r="J39" s="15" t="n"/>
      <c r="K39" s="168" t="n"/>
      <c r="L39" s="15" t="n"/>
      <c r="M39" s="57" t="n"/>
      <c r="N39" s="58" t="n"/>
      <c r="O39" s="7" t="n"/>
      <c r="P39" s="2" t="n"/>
      <c r="Q39" s="2" t="n"/>
    </row>
    <row r="40">
      <c r="A40" s="188" t="n"/>
      <c r="B40" s="189" t="n"/>
      <c r="C40" s="197" t="n"/>
      <c r="D40" s="189" t="n"/>
      <c r="E40" s="5" t="n"/>
      <c r="F40" s="55" t="n"/>
      <c r="G40" s="53" t="n"/>
      <c r="H40" s="68" t="n"/>
      <c r="I40" s="15" t="n"/>
      <c r="J40" s="56" t="n"/>
      <c r="K40" s="14" t="n"/>
      <c r="L40" s="15" t="n"/>
      <c r="M40" s="57" t="n"/>
      <c r="N40" s="58" t="n"/>
      <c r="O40" s="7" t="n"/>
      <c r="P40" s="2" t="n"/>
      <c r="Q40" s="2" t="n"/>
    </row>
    <row r="41">
      <c r="A41" s="188" t="n"/>
      <c r="B41" s="189" t="n"/>
      <c r="C41" s="197" t="n"/>
      <c r="D41" s="189" t="n"/>
      <c r="E41" s="5" t="n"/>
      <c r="F41" s="205" t="n"/>
      <c r="G41" s="205" t="n"/>
      <c r="H41" s="68" t="n"/>
      <c r="I41" s="15" t="n"/>
      <c r="J41" s="56" t="n"/>
      <c r="K41" s="14" t="n"/>
      <c r="L41" s="15" t="n"/>
      <c r="M41" s="57" t="n"/>
      <c r="N41" s="58" t="n"/>
      <c r="O41" s="7" t="n"/>
      <c r="P41" s="2" t="n"/>
      <c r="Q41" s="2" t="n"/>
    </row>
    <row r="42">
      <c r="A42" s="188" t="n"/>
      <c r="B42" s="189" t="n"/>
      <c r="C42" s="197" t="n"/>
      <c r="D42" s="189" t="n"/>
      <c r="E42" s="5" t="n"/>
      <c r="F42" s="55" t="n"/>
      <c r="G42" s="53" t="n"/>
      <c r="H42" s="68" t="n"/>
      <c r="I42" s="15" t="n"/>
      <c r="J42" s="56" t="n"/>
      <c r="K42" s="56" t="n"/>
      <c r="L42" s="57" t="n"/>
      <c r="M42" s="57" t="n"/>
      <c r="N42" s="58" t="n"/>
      <c r="O42" s="7" t="n"/>
      <c r="P42" s="2" t="n"/>
      <c r="Q42" s="2" t="n"/>
    </row>
    <row r="43">
      <c r="A43" s="188" t="n"/>
      <c r="B43" s="189" t="n"/>
      <c r="C43" s="205" t="n"/>
      <c r="D43" s="189" t="n"/>
      <c r="E43" s="5" t="n"/>
      <c r="F43" s="55" t="n"/>
      <c r="G43" s="205" t="n"/>
      <c r="H43" s="68" t="n"/>
      <c r="I43" s="15" t="n"/>
      <c r="J43" s="56" t="n"/>
      <c r="K43" s="56" t="n"/>
      <c r="L43" s="57" t="n"/>
      <c r="M43" s="57" t="n"/>
      <c r="N43" s="58" t="n"/>
      <c r="O43" s="7" t="n"/>
      <c r="P43" s="2" t="n"/>
      <c r="Q43" s="2" t="n"/>
    </row>
    <row r="44">
      <c r="A44" s="188" t="n"/>
      <c r="B44" s="189" t="n"/>
      <c r="C44" s="205" t="n"/>
      <c r="D44" s="189" t="n"/>
      <c r="E44" s="5" t="n"/>
      <c r="F44" s="55" t="n"/>
      <c r="G44" s="205" t="n"/>
      <c r="H44" s="68" t="n"/>
      <c r="I44" s="15" t="n"/>
      <c r="J44" s="56" t="n"/>
      <c r="K44" s="56" t="n"/>
      <c r="L44" s="57" t="n"/>
      <c r="M44" s="57" t="n"/>
      <c r="N44" s="58" t="n"/>
      <c r="O44" s="7" t="n"/>
      <c r="P44" s="2" t="n"/>
      <c r="Q44" s="2" t="n"/>
    </row>
    <row r="45">
      <c r="A45" s="188" t="n"/>
      <c r="B45" s="189" t="n"/>
      <c r="C45" s="205" t="n"/>
      <c r="D45" s="189" t="n"/>
      <c r="E45" s="5" t="n"/>
      <c r="F45" s="55" t="n"/>
      <c r="G45" s="205" t="n"/>
      <c r="H45" s="68" t="n"/>
      <c r="I45" s="15" t="n"/>
      <c r="J45" s="56" t="n"/>
      <c r="K45" s="56" t="n"/>
      <c r="L45" s="57" t="n"/>
      <c r="M45" s="57" t="n"/>
      <c r="N45" s="58" t="n"/>
      <c r="O45" s="7" t="n"/>
      <c r="P45" s="2" t="n"/>
      <c r="Q45" s="2" t="n"/>
    </row>
    <row r="46">
      <c r="A46" s="188" t="n"/>
      <c r="B46" s="189" t="n"/>
      <c r="C46" s="197" t="n"/>
      <c r="D46" s="189" t="n"/>
      <c r="E46" s="5" t="n"/>
      <c r="F46" s="55" t="n"/>
      <c r="G46" s="205" t="n"/>
      <c r="H46" s="68" t="n"/>
      <c r="I46" s="15" t="n"/>
      <c r="J46" s="56" t="n"/>
      <c r="K46" s="56" t="n"/>
      <c r="L46" s="57" t="n"/>
      <c r="M46" s="57" t="n"/>
      <c r="N46" s="58" t="n"/>
      <c r="O46" s="7" t="n"/>
      <c r="P46" s="2" t="n"/>
      <c r="Q46" s="2" t="n"/>
    </row>
    <row r="47">
      <c r="A47" s="188" t="n"/>
      <c r="B47" s="189" t="n"/>
      <c r="C47" s="197" t="n"/>
      <c r="D47" s="189" t="n"/>
      <c r="E47" s="5" t="n"/>
      <c r="F47" s="55" t="n"/>
      <c r="G47" s="205" t="n"/>
      <c r="H47" s="68" t="n"/>
      <c r="I47" s="15" t="n"/>
      <c r="J47" s="56" t="n"/>
      <c r="K47" s="56" t="n"/>
      <c r="L47" s="57" t="n"/>
      <c r="M47" s="57" t="n"/>
      <c r="N47" s="58" t="n"/>
      <c r="O47" s="7" t="n"/>
      <c r="P47" s="2" t="n"/>
      <c r="Q47" s="2" t="n"/>
    </row>
    <row r="48">
      <c r="A48" s="188" t="n"/>
      <c r="B48" s="189" t="n"/>
      <c r="C48" s="197" t="n"/>
      <c r="D48" s="189" t="n"/>
      <c r="E48" s="5" t="n"/>
      <c r="F48" s="55" t="n"/>
      <c r="G48" s="205" t="n"/>
      <c r="H48" s="68" t="n"/>
      <c r="I48" s="15" t="n"/>
      <c r="J48" s="56" t="n"/>
      <c r="K48" s="56" t="n"/>
      <c r="L48" s="57" t="n"/>
      <c r="M48" s="57" t="n"/>
      <c r="N48" s="58" t="n"/>
      <c r="O48" s="7" t="n"/>
      <c r="P48" s="2" t="n"/>
      <c r="Q48" s="2" t="n"/>
    </row>
    <row r="49">
      <c r="A49" s="188" t="n"/>
      <c r="B49" s="189" t="n"/>
      <c r="C49" s="197" t="n"/>
      <c r="D49" s="189" t="n"/>
      <c r="E49" s="5" t="n"/>
      <c r="F49" s="55" t="n"/>
      <c r="G49" s="205" t="n"/>
      <c r="H49" s="68" t="n"/>
      <c r="I49" s="15" t="n"/>
      <c r="J49" s="56" t="n"/>
      <c r="K49" s="56" t="n"/>
      <c r="L49" s="57" t="n"/>
      <c r="M49" s="57" t="n"/>
      <c r="N49" s="58" t="n"/>
      <c r="O49" s="7" t="n"/>
      <c r="P49" s="2" t="n"/>
      <c r="Q49" s="2" t="n"/>
    </row>
    <row r="50">
      <c r="A50" s="188" t="n"/>
      <c r="B50" s="189" t="n"/>
      <c r="C50" s="197" t="n"/>
      <c r="D50" s="189" t="n"/>
      <c r="E50" s="5" t="n"/>
      <c r="F50" s="55" t="n"/>
      <c r="G50" s="205" t="n"/>
      <c r="H50" s="68" t="n"/>
      <c r="I50" s="15" t="n"/>
      <c r="J50" s="56" t="n"/>
      <c r="K50" s="56" t="n"/>
      <c r="L50" s="57" t="n"/>
      <c r="M50" s="57" t="n"/>
      <c r="N50" s="58" t="n"/>
      <c r="O50" s="7" t="n"/>
      <c r="P50" s="2" t="n"/>
      <c r="Q50" s="2" t="n"/>
    </row>
    <row r="51">
      <c r="A51" s="188" t="n"/>
      <c r="B51" s="189" t="n"/>
      <c r="C51" s="197" t="n"/>
      <c r="D51" s="189" t="n"/>
      <c r="E51" s="5" t="n"/>
      <c r="F51" s="55" t="n"/>
      <c r="G51" s="205" t="n"/>
      <c r="H51" s="68" t="n"/>
      <c r="I51" s="15" t="n"/>
      <c r="J51" s="56" t="n"/>
      <c r="K51" s="15" t="n"/>
      <c r="L51" s="15" t="n"/>
      <c r="M51" s="169" t="n"/>
      <c r="N51" s="58" t="n"/>
      <c r="O51" s="7" t="n"/>
      <c r="P51" s="2" t="n"/>
      <c r="Q51" s="2" t="n"/>
    </row>
    <row r="52" customFormat="1" s="73">
      <c r="A52" s="188" t="n"/>
      <c r="B52" s="189" t="n"/>
      <c r="C52" s="197" t="n"/>
      <c r="D52" s="189" t="n"/>
      <c r="E52" s="5" t="n"/>
      <c r="F52" s="55" t="n"/>
      <c r="G52" s="205" t="n"/>
      <c r="H52" s="68" t="n"/>
      <c r="I52" s="15" t="n"/>
      <c r="J52" s="56" t="n"/>
      <c r="K52" s="15" t="n"/>
      <c r="L52" s="15" t="n"/>
      <c r="M52" s="169" t="n"/>
      <c r="N52" s="58" t="n"/>
      <c r="O52" s="7" t="n"/>
      <c r="P52" s="2" t="n"/>
      <c r="Q52" s="2" t="n"/>
    </row>
    <row r="53">
      <c r="A53" s="188" t="n"/>
      <c r="B53" s="189" t="n"/>
      <c r="C53" s="205" t="n"/>
      <c r="D53" s="189" t="n"/>
      <c r="E53" s="5" t="n"/>
      <c r="F53" s="55" t="n"/>
      <c r="G53" s="53" t="n"/>
      <c r="H53" s="68" t="n"/>
      <c r="I53" s="15" t="n"/>
      <c r="J53" s="56" t="n"/>
      <c r="K53" s="15" t="n"/>
      <c r="L53" s="15" t="n"/>
      <c r="M53" s="169" t="n"/>
      <c r="N53" s="58" t="n"/>
      <c r="O53" s="7" t="n"/>
      <c r="P53" s="2" t="n"/>
      <c r="Q53" s="2" t="n"/>
    </row>
    <row r="54">
      <c r="A54" s="188" t="n"/>
      <c r="B54" s="189" t="n"/>
      <c r="C54" s="197" t="n"/>
      <c r="D54" s="189" t="n"/>
      <c r="E54" s="5" t="n"/>
      <c r="F54" s="55" t="n"/>
      <c r="G54" s="53" t="n"/>
      <c r="H54" s="68" t="n"/>
      <c r="I54" s="15" t="n"/>
      <c r="J54" s="56" t="n"/>
      <c r="K54" s="56" t="n"/>
      <c r="L54" s="57" t="n"/>
      <c r="M54" s="57" t="n"/>
      <c r="N54" s="58" t="n"/>
      <c r="O54" s="7" t="n"/>
      <c r="P54" s="2" t="n"/>
      <c r="Q54" s="2" t="n"/>
    </row>
    <row r="55">
      <c r="A55" s="188" t="n"/>
      <c r="B55" s="189" t="n"/>
      <c r="C55" s="205" t="n"/>
      <c r="D55" s="189" t="n"/>
      <c r="E55" s="5" t="n"/>
      <c r="F55" s="55" t="n"/>
      <c r="G55" s="53" t="n"/>
      <c r="H55" s="68" t="n"/>
      <c r="I55" s="15" t="n"/>
      <c r="J55" s="56" t="n"/>
      <c r="K55" s="56" t="n"/>
      <c r="L55" s="57" t="n"/>
      <c r="M55" s="57" t="n"/>
      <c r="N55" s="58" t="n"/>
      <c r="O55" s="7" t="n"/>
      <c r="P55" s="2" t="n"/>
      <c r="Q55" s="2" t="n"/>
    </row>
    <row r="56">
      <c r="A56" s="188" t="n"/>
      <c r="B56" s="189" t="n"/>
      <c r="C56" s="205" t="n"/>
      <c r="D56" s="189" t="n"/>
      <c r="E56" s="5" t="n"/>
      <c r="F56" s="55" t="n"/>
      <c r="G56" s="53" t="n"/>
      <c r="H56" s="68" t="n"/>
      <c r="I56" s="15" t="n"/>
      <c r="J56" s="56" t="n"/>
      <c r="K56" s="56" t="n"/>
      <c r="L56" s="57" t="n"/>
      <c r="M56" s="57" t="n"/>
      <c r="N56" s="58" t="n"/>
      <c r="O56" s="7" t="n"/>
      <c r="P56" s="2" t="n"/>
      <c r="Q56" s="2" t="n"/>
    </row>
    <row r="57">
      <c r="A57" s="188" t="n"/>
      <c r="B57" s="189" t="n"/>
      <c r="C57" s="197" t="n"/>
      <c r="D57" s="189" t="n"/>
      <c r="E57" s="5" t="n"/>
      <c r="F57" s="55" t="n"/>
      <c r="G57" s="53" t="n"/>
      <c r="H57" s="68" t="n"/>
      <c r="I57" s="15" t="n"/>
      <c r="J57" s="56" t="n"/>
      <c r="K57" s="56" t="n"/>
      <c r="L57" s="57" t="n"/>
      <c r="M57" s="57" t="n"/>
      <c r="N57" s="58" t="n"/>
      <c r="O57" s="7" t="n"/>
      <c r="P57" s="2" t="n"/>
      <c r="Q57" s="2" t="n"/>
    </row>
    <row r="58" customFormat="1" s="73">
      <c r="A58" s="188" t="n"/>
      <c r="B58" s="189" t="n"/>
      <c r="C58" s="197" t="n"/>
      <c r="D58" s="189" t="n"/>
      <c r="E58" s="5" t="n"/>
      <c r="F58" s="55" t="n"/>
      <c r="G58" s="53" t="n"/>
      <c r="H58" s="68" t="n"/>
      <c r="I58" s="15" t="n"/>
      <c r="J58" s="56" t="n"/>
      <c r="K58" s="56" t="n"/>
      <c r="L58" s="57" t="n"/>
      <c r="M58" s="57" t="n"/>
      <c r="N58" s="58" t="n"/>
      <c r="O58" s="7" t="n"/>
      <c r="P58" s="2" t="n"/>
      <c r="Q58" s="2" t="n"/>
    </row>
    <row r="59">
      <c r="A59" s="188" t="n"/>
      <c r="B59" s="189" t="n"/>
      <c r="C59" s="197" t="n"/>
      <c r="D59" s="189" t="n"/>
      <c r="E59" s="5" t="n"/>
      <c r="F59" s="55" t="n"/>
      <c r="G59" s="53" t="n"/>
      <c r="H59" s="68" t="n"/>
      <c r="I59" s="15" t="n"/>
      <c r="J59" s="56" t="n"/>
      <c r="K59" s="56" t="n"/>
      <c r="L59" s="57" t="n"/>
      <c r="M59" s="57" t="n"/>
      <c r="N59" s="58" t="n"/>
      <c r="O59" s="7" t="n"/>
      <c r="P59" s="2" t="n"/>
      <c r="Q59" s="2" t="n"/>
    </row>
    <row r="60">
      <c r="A60" s="188" t="n"/>
      <c r="B60" s="189" t="n"/>
      <c r="C60" s="197" t="n"/>
      <c r="D60" s="189" t="n"/>
      <c r="E60" s="5" t="n"/>
      <c r="F60" s="55" t="n"/>
      <c r="G60" s="53" t="n"/>
      <c r="H60" s="68" t="n"/>
      <c r="I60" s="15" t="n"/>
      <c r="J60" s="56" t="n"/>
      <c r="K60" s="56" t="n"/>
      <c r="L60" s="57" t="n"/>
      <c r="M60" s="57" t="n"/>
      <c r="N60" s="58" t="n"/>
      <c r="O60" s="7" t="n"/>
      <c r="P60" s="2" t="n"/>
      <c r="Q60" s="2" t="n"/>
    </row>
    <row r="61">
      <c r="A61" s="188" t="n"/>
      <c r="B61" s="189" t="n"/>
      <c r="C61" s="197" t="n"/>
      <c r="D61" s="189" t="n"/>
      <c r="E61" s="5" t="n"/>
      <c r="F61" s="55" t="n"/>
      <c r="G61" s="53" t="n"/>
      <c r="H61" s="68" t="n"/>
      <c r="I61" s="15" t="n"/>
      <c r="J61" s="56" t="n"/>
      <c r="K61" s="56" t="n"/>
      <c r="L61" s="57" t="n"/>
      <c r="M61" s="57" t="n"/>
      <c r="N61" s="58" t="n"/>
      <c r="O61" s="7" t="n"/>
      <c r="P61" s="2" t="n"/>
      <c r="Q61" s="2" t="n"/>
    </row>
    <row r="62" customFormat="1" s="2">
      <c r="A62" s="188" t="n"/>
      <c r="B62" s="189" t="n"/>
      <c r="C62" s="197" t="n"/>
      <c r="D62" s="189" t="n"/>
      <c r="E62" s="5" t="n"/>
      <c r="F62" s="205" t="n"/>
      <c r="G62" s="53" t="n"/>
      <c r="H62" s="68" t="n"/>
      <c r="I62" s="15" t="n"/>
      <c r="J62" s="56" t="n"/>
      <c r="K62" s="56" t="n"/>
      <c r="L62" s="57" t="n"/>
      <c r="M62" s="57" t="n"/>
      <c r="N62" s="58" t="n"/>
      <c r="O62" s="7" t="n"/>
    </row>
    <row r="63">
      <c r="A63" s="188" t="n"/>
      <c r="B63" s="189" t="n"/>
      <c r="C63" s="197" t="n"/>
      <c r="D63" s="189" t="n"/>
      <c r="E63" s="5" t="n"/>
      <c r="F63" s="55" t="n"/>
      <c r="G63" s="53" t="n"/>
      <c r="H63" s="68" t="n"/>
      <c r="I63" s="15" t="n"/>
      <c r="J63" s="56" t="n"/>
      <c r="K63" s="56" t="n"/>
      <c r="L63" s="57" t="n"/>
      <c r="M63" s="57" t="n"/>
      <c r="N63" s="58" t="n"/>
      <c r="O63" s="7" t="n"/>
      <c r="P63" s="2" t="n"/>
      <c r="Q63" s="2" t="n"/>
    </row>
    <row r="64">
      <c r="A64" s="188" t="n"/>
      <c r="B64" s="189" t="n"/>
      <c r="C64" s="205" t="n"/>
      <c r="D64" s="189" t="n"/>
      <c r="E64" s="5" t="n"/>
      <c r="F64" s="197" t="n"/>
      <c r="G64" s="53" t="n"/>
      <c r="H64" s="244" t="n"/>
      <c r="I64" s="14" t="n"/>
      <c r="J64" s="14" t="n"/>
      <c r="K64" s="56" t="n"/>
      <c r="L64" s="15" t="n"/>
      <c r="M64" s="14" t="n"/>
      <c r="N64" s="58" t="n"/>
      <c r="O64" s="7" t="n"/>
      <c r="P64" s="2" t="n"/>
      <c r="Q64" s="2" t="n"/>
    </row>
    <row r="65">
      <c r="A65" s="188" t="n"/>
      <c r="B65" s="189" t="n"/>
      <c r="C65" s="205" t="n"/>
      <c r="D65" s="189" t="n"/>
      <c r="E65" s="5" t="n"/>
      <c r="F65" s="55" t="n"/>
      <c r="G65" s="53" t="n"/>
      <c r="H65" s="68" t="n"/>
      <c r="I65" s="15" t="n"/>
      <c r="J65" s="56" t="n"/>
      <c r="K65" s="56" t="n"/>
      <c r="L65" s="57" t="n"/>
      <c r="M65" s="57" t="n"/>
      <c r="N65" s="58" t="n"/>
      <c r="O65" s="7" t="n"/>
      <c r="P65" s="2" t="n"/>
      <c r="Q65" s="2" t="n"/>
    </row>
    <row r="66">
      <c r="A66" s="188" t="n"/>
      <c r="B66" s="189" t="n"/>
      <c r="C66" s="205" t="n"/>
      <c r="D66" s="189" t="n"/>
      <c r="E66" s="5" t="n"/>
      <c r="F66" s="55" t="n"/>
      <c r="G66" s="53" t="n"/>
      <c r="H66" s="68" t="n"/>
      <c r="I66" s="15" t="n"/>
      <c r="J66" s="56" t="n"/>
      <c r="K66" s="56" t="n"/>
      <c r="L66" s="57" t="n"/>
      <c r="M66" s="57" t="n"/>
      <c r="N66" s="58" t="n"/>
      <c r="O66" s="7" t="n"/>
      <c r="P66" s="2" t="n"/>
      <c r="Q66" s="2" t="n"/>
    </row>
    <row r="67" customFormat="1" s="73">
      <c r="A67" s="188" t="n"/>
      <c r="B67" s="189" t="n"/>
      <c r="C67" s="197" t="n"/>
      <c r="D67" s="189" t="n"/>
      <c r="E67" s="5" t="n"/>
      <c r="F67" s="55" t="n"/>
      <c r="G67" s="53" t="n"/>
      <c r="H67" s="68" t="n"/>
      <c r="I67" s="15" t="n"/>
      <c r="J67" s="56" t="n"/>
      <c r="K67" s="56" t="n"/>
      <c r="L67" s="57" t="n"/>
      <c r="M67" s="57" t="n"/>
      <c r="N67" s="58" t="n"/>
      <c r="O67" s="7" t="n"/>
      <c r="P67" s="2" t="n"/>
      <c r="Q67" s="2" t="n"/>
    </row>
    <row r="68">
      <c r="A68" s="188" t="n"/>
      <c r="B68" s="189" t="n"/>
      <c r="C68" s="197" t="n"/>
      <c r="D68" s="189" t="n"/>
      <c r="E68" s="5" t="n"/>
      <c r="F68" s="55" t="n"/>
      <c r="G68" s="53" t="n"/>
      <c r="H68" s="68" t="n"/>
      <c r="I68" s="15" t="n"/>
      <c r="J68" s="56" t="n"/>
      <c r="K68" s="56" t="n"/>
      <c r="L68" s="57" t="n"/>
      <c r="M68" s="57" t="n"/>
      <c r="N68" s="58" t="n"/>
      <c r="O68" s="7" t="n"/>
      <c r="P68" s="2" t="n"/>
      <c r="Q68" s="2" t="n"/>
    </row>
    <row r="69">
      <c r="A69" s="188" t="n"/>
      <c r="B69" s="189" t="n"/>
      <c r="C69" s="197" t="n"/>
      <c r="D69" s="189" t="n"/>
      <c r="E69" s="5" t="n"/>
      <c r="F69" s="55" t="n"/>
      <c r="G69" s="53" t="n"/>
      <c r="H69" s="68" t="n"/>
      <c r="I69" s="15" t="n"/>
      <c r="J69" s="56" t="n"/>
      <c r="K69" s="56" t="n"/>
      <c r="L69" s="57" t="n"/>
      <c r="M69" s="57" t="n"/>
      <c r="N69" s="58" t="n"/>
      <c r="O69" s="7" t="n"/>
      <c r="P69" s="2" t="n"/>
      <c r="Q69" s="2" t="n"/>
    </row>
    <row r="70">
      <c r="A70" s="188" t="n"/>
      <c r="B70" s="189" t="n"/>
      <c r="C70" s="205" t="n"/>
      <c r="D70" s="189" t="n"/>
      <c r="E70" s="5" t="n"/>
      <c r="F70" s="55" t="n"/>
      <c r="G70" s="205" t="n"/>
      <c r="H70" s="68" t="n"/>
      <c r="I70" s="15" t="n"/>
      <c r="J70" s="56" t="n"/>
      <c r="K70" s="56" t="n"/>
      <c r="L70" s="57" t="n"/>
      <c r="M70" s="57" t="n"/>
      <c r="N70" s="58" t="n"/>
      <c r="O70" s="7" t="n"/>
      <c r="P70" s="2" t="n"/>
      <c r="Q70" s="2" t="n"/>
    </row>
    <row r="71">
      <c r="A71" s="188" t="n"/>
      <c r="B71" s="189" t="n"/>
      <c r="C71" s="197" t="n"/>
      <c r="D71" s="189" t="n"/>
      <c r="E71" s="5" t="n"/>
      <c r="F71" s="55" t="n"/>
      <c r="G71" s="205" t="n"/>
      <c r="H71" s="68" t="n"/>
      <c r="I71" s="15" t="n"/>
      <c r="J71" s="56" t="n"/>
      <c r="K71" s="56" t="n"/>
      <c r="L71" s="57" t="n"/>
      <c r="M71" s="57" t="n"/>
      <c r="N71" s="58" t="n"/>
      <c r="O71" s="7" t="n"/>
      <c r="P71" s="2" t="n"/>
      <c r="Q71" s="2" t="n"/>
    </row>
    <row r="72">
      <c r="A72" s="188" t="n"/>
      <c r="B72" s="189" t="n"/>
      <c r="C72" s="197" t="n"/>
      <c r="D72" s="189" t="n"/>
      <c r="E72" s="5" t="n"/>
      <c r="F72" s="55" t="n"/>
      <c r="G72" s="53" t="n"/>
      <c r="H72" s="68" t="n"/>
      <c r="I72" s="15" t="n"/>
      <c r="J72" s="56" t="n"/>
      <c r="K72" s="56" t="n"/>
      <c r="L72" s="57" t="n"/>
      <c r="M72" s="57" t="n"/>
      <c r="N72" s="58" t="n"/>
      <c r="O72" s="7" t="n"/>
      <c r="P72" s="2" t="n"/>
      <c r="Q72" s="2" t="n"/>
    </row>
    <row r="73">
      <c r="A73" s="234" t="n"/>
      <c r="B73" s="191" t="n"/>
      <c r="C73" s="197" t="n"/>
      <c r="D73" s="189" t="n"/>
      <c r="E73" s="5" t="n"/>
      <c r="F73" s="55" t="n"/>
      <c r="G73" s="53" t="n"/>
      <c r="H73" s="68" t="n"/>
      <c r="I73" s="15" t="n"/>
      <c r="J73" s="56" t="n"/>
      <c r="K73" s="56" t="n"/>
      <c r="L73" s="57" t="n"/>
      <c r="M73" s="57" t="n"/>
      <c r="N73" s="58" t="n"/>
      <c r="O73" s="7" t="n"/>
      <c r="P73" s="2" t="n"/>
      <c r="Q73" s="2" t="n"/>
    </row>
    <row r="74">
      <c r="A74" s="188" t="n"/>
      <c r="B74" s="189" t="n"/>
      <c r="C74" s="197" t="n"/>
      <c r="D74" s="189" t="n"/>
      <c r="E74" s="5" t="n"/>
      <c r="F74" s="55" t="n"/>
      <c r="G74" s="53" t="n"/>
      <c r="H74" s="68" t="n"/>
      <c r="I74" s="15" t="n"/>
      <c r="J74" s="56" t="n"/>
      <c r="K74" s="56" t="n"/>
      <c r="L74" s="57" t="n"/>
      <c r="M74" s="57" t="n"/>
      <c r="N74" s="58" t="n"/>
      <c r="O74" s="7" t="n"/>
      <c r="P74" s="2" t="n"/>
      <c r="Q74" s="2" t="n"/>
    </row>
    <row r="75">
      <c r="A75" s="234" t="n"/>
      <c r="B75" s="191" t="n"/>
      <c r="C75" s="205" t="n"/>
      <c r="D75" s="189" t="n"/>
      <c r="E75" s="5" t="n"/>
      <c r="F75" s="55" t="n"/>
      <c r="G75" s="53" t="n"/>
      <c r="H75" s="68" t="n"/>
      <c r="I75" s="15" t="n"/>
      <c r="J75" s="56" t="n"/>
      <c r="K75" s="56" t="n"/>
      <c r="L75" s="57" t="n"/>
      <c r="M75" s="57" t="n"/>
      <c r="N75" s="58" t="n"/>
      <c r="O75" s="7" t="n"/>
      <c r="P75" s="2" t="n"/>
      <c r="Q75" s="2" t="n"/>
    </row>
    <row r="76">
      <c r="A76" s="234" t="n"/>
      <c r="B76" s="191" t="n"/>
      <c r="C76" s="205" t="n"/>
      <c r="D76" s="189" t="n"/>
      <c r="E76" s="5" t="n"/>
      <c r="F76" s="55" t="n"/>
      <c r="G76" s="205" t="n"/>
      <c r="H76" s="68" t="n"/>
      <c r="I76" s="15" t="n"/>
      <c r="J76" s="56" t="n"/>
      <c r="K76" s="56" t="n"/>
      <c r="L76" s="57" t="n"/>
      <c r="M76" s="57" t="n"/>
      <c r="N76" s="58" t="n"/>
      <c r="O76" s="7" t="n"/>
      <c r="P76" s="2" t="n"/>
      <c r="Q76" s="2" t="n"/>
    </row>
    <row r="77">
      <c r="A77" s="234" t="n"/>
      <c r="B77" s="191" t="n"/>
      <c r="C77" s="197" t="n"/>
      <c r="D77" s="189" t="n"/>
      <c r="E77" s="5" t="n"/>
      <c r="F77" s="55" t="n"/>
      <c r="G77" s="205" t="n"/>
      <c r="H77" s="68" t="n"/>
      <c r="I77" s="15" t="n"/>
      <c r="J77" s="56" t="n"/>
      <c r="K77" s="56" t="n"/>
      <c r="L77" s="57" t="n"/>
      <c r="M77" s="57" t="n"/>
      <c r="N77" s="58" t="n"/>
      <c r="O77" s="7" t="n"/>
      <c r="P77" s="2" t="n"/>
      <c r="Q77" s="2" t="n"/>
    </row>
    <row r="78">
      <c r="A78" s="234" t="n"/>
      <c r="B78" s="191" t="n"/>
      <c r="C78" s="197" t="n"/>
      <c r="D78" s="189" t="n"/>
      <c r="E78" s="5" t="n"/>
      <c r="F78" s="55" t="n"/>
      <c r="G78" s="205" t="n"/>
      <c r="H78" s="68" t="n"/>
      <c r="I78" s="15" t="n"/>
      <c r="J78" s="56" t="n"/>
      <c r="K78" s="56" t="n"/>
      <c r="L78" s="57" t="n"/>
      <c r="M78" s="57" t="n"/>
      <c r="N78" s="58" t="n"/>
      <c r="O78" s="7" t="n"/>
      <c r="P78" s="2" t="n"/>
      <c r="Q78" s="2" t="n"/>
    </row>
    <row r="79">
      <c r="A79" s="234" t="n"/>
      <c r="B79" s="191" t="n"/>
      <c r="C79" s="197" t="n"/>
      <c r="D79" s="189" t="n"/>
      <c r="E79" s="5" t="n"/>
      <c r="F79" s="55" t="n"/>
      <c r="G79" s="205" t="n"/>
      <c r="H79" s="68" t="n"/>
      <c r="I79" s="15" t="n"/>
      <c r="J79" s="56" t="n"/>
      <c r="K79" s="56" t="n"/>
      <c r="L79" s="57" t="n"/>
      <c r="M79" s="57" t="n"/>
      <c r="N79" s="58" t="n"/>
      <c r="O79" s="7" t="n"/>
      <c r="P79" s="2" t="n"/>
      <c r="Q79" s="2" t="n"/>
    </row>
    <row r="80">
      <c r="A80" s="234" t="n"/>
      <c r="B80" s="191" t="n"/>
      <c r="C80" s="197" t="n"/>
      <c r="D80" s="189" t="n"/>
      <c r="E80" s="5" t="n"/>
      <c r="F80" s="55" t="n"/>
      <c r="G80" s="53" t="n"/>
      <c r="H80" s="68" t="n"/>
      <c r="I80" s="15" t="n"/>
      <c r="J80" s="56" t="n"/>
      <c r="K80" s="56" t="n"/>
      <c r="L80" s="57" t="n"/>
      <c r="M80" s="57" t="n"/>
      <c r="N80" s="58" t="n"/>
      <c r="O80" s="7" t="n"/>
      <c r="P80" s="2" t="n"/>
      <c r="Q80" s="2" t="n"/>
    </row>
    <row r="81">
      <c r="A81" s="234" t="n"/>
      <c r="B81" s="191" t="n"/>
      <c r="C81" s="197" t="n"/>
      <c r="D81" s="189" t="n"/>
      <c r="E81" s="5" t="n"/>
      <c r="F81" s="55" t="n"/>
      <c r="G81" s="205" t="n"/>
      <c r="H81" s="68" t="n"/>
      <c r="I81" s="15" t="n"/>
      <c r="J81" s="56" t="n"/>
      <c r="K81" s="56" t="n"/>
      <c r="L81" s="57" t="n"/>
      <c r="M81" s="57" t="n"/>
      <c r="N81" s="58" t="n"/>
      <c r="O81" s="7" t="n"/>
      <c r="P81" s="2" t="n"/>
      <c r="Q81" s="2" t="n"/>
    </row>
    <row r="82">
      <c r="A82" s="234" t="n"/>
      <c r="B82" s="191" t="n"/>
      <c r="C82" s="197" t="n"/>
      <c r="D82" s="189" t="n"/>
      <c r="E82" s="5" t="n"/>
      <c r="F82" s="55" t="n"/>
      <c r="G82" s="205" t="n"/>
      <c r="H82" s="68" t="n"/>
      <c r="I82" s="15" t="n"/>
      <c r="J82" s="56" t="n"/>
      <c r="K82" s="56" t="n"/>
      <c r="L82" s="57" t="n"/>
      <c r="M82" s="57" t="n"/>
      <c r="N82" s="58" t="n"/>
      <c r="O82" s="7" t="n"/>
      <c r="P82" s="2" t="n"/>
      <c r="Q82" s="2" t="n"/>
    </row>
    <row r="83">
      <c r="A83" s="234" t="n"/>
      <c r="B83" s="191" t="n"/>
      <c r="C83" s="197" t="n"/>
      <c r="D83" s="189" t="n"/>
      <c r="E83" s="5" t="n"/>
      <c r="F83" s="55" t="n"/>
      <c r="G83" s="205" t="n"/>
      <c r="H83" s="68" t="n"/>
      <c r="I83" s="15" t="n"/>
      <c r="J83" s="56" t="n"/>
      <c r="K83" s="56" t="n"/>
      <c r="L83" s="57" t="n"/>
      <c r="M83" s="57" t="n"/>
      <c r="N83" s="58" t="n"/>
      <c r="O83" s="7" t="n"/>
      <c r="P83" s="2" t="n"/>
      <c r="Q83" s="2" t="n"/>
    </row>
    <row r="84">
      <c r="A84" s="234" t="n"/>
      <c r="B84" s="191" t="n"/>
      <c r="C84" s="197" t="n"/>
      <c r="D84" s="189" t="n"/>
      <c r="E84" s="5" t="n"/>
      <c r="F84" s="55" t="n"/>
      <c r="G84" s="205" t="n"/>
      <c r="H84" s="68" t="n"/>
      <c r="I84" s="15" t="n"/>
      <c r="J84" s="56" t="n"/>
      <c r="K84" s="56" t="n"/>
      <c r="L84" s="57" t="n"/>
      <c r="M84" s="57" t="n"/>
      <c r="N84" s="58" t="n"/>
      <c r="O84" s="7" t="n"/>
      <c r="P84" s="2" t="n"/>
      <c r="Q84" s="2" t="n"/>
    </row>
    <row r="85">
      <c r="A85" s="234" t="n"/>
      <c r="B85" s="191" t="n"/>
      <c r="C85" s="197" t="n"/>
      <c r="D85" s="189" t="n"/>
      <c r="E85" s="5" t="n"/>
      <c r="F85" s="55" t="n"/>
      <c r="G85" s="53" t="n"/>
      <c r="H85" s="68" t="n"/>
      <c r="I85" s="15" t="n"/>
      <c r="J85" s="56" t="n"/>
      <c r="K85" s="56" t="n"/>
      <c r="L85" s="57" t="n"/>
      <c r="M85" s="57" t="n"/>
      <c r="N85" s="58" t="n"/>
      <c r="O85" s="7" t="n"/>
      <c r="P85" s="2" t="n"/>
      <c r="Q85" s="2" t="n"/>
    </row>
    <row r="86">
      <c r="A86" s="188" t="n"/>
      <c r="B86" s="189" t="n"/>
      <c r="C86" s="205" t="n"/>
      <c r="D86" s="189" t="n"/>
      <c r="E86" s="5" t="n"/>
      <c r="F86" s="55" t="n"/>
      <c r="G86" s="53" t="n"/>
      <c r="H86" s="68" t="n"/>
      <c r="I86" s="15" t="n"/>
      <c r="J86" s="56" t="n"/>
      <c r="K86" s="56" t="n"/>
      <c r="L86" s="57" t="n"/>
      <c r="M86" s="57" t="n"/>
      <c r="N86" s="58" t="n"/>
      <c r="O86" s="7" t="n"/>
      <c r="P86" s="2" t="n"/>
      <c r="Q86" s="2" t="n"/>
    </row>
    <row r="87">
      <c r="A87" s="188" t="n"/>
      <c r="B87" s="189" t="n"/>
      <c r="C87" s="197" t="n"/>
      <c r="D87" s="189" t="n"/>
      <c r="E87" s="5" t="n"/>
      <c r="F87" s="55" t="n"/>
      <c r="G87" s="53" t="n"/>
      <c r="H87" s="68" t="n"/>
      <c r="I87" s="15" t="n"/>
      <c r="J87" s="56" t="n"/>
      <c r="K87" s="56" t="n"/>
      <c r="L87" s="57" t="n"/>
      <c r="M87" s="57" t="n"/>
      <c r="N87" s="58" t="n"/>
      <c r="O87" s="7" t="n"/>
      <c r="P87" s="2" t="n"/>
      <c r="Q87" s="2" t="n"/>
    </row>
    <row r="88">
      <c r="A88" s="188" t="n"/>
      <c r="B88" s="189" t="n"/>
      <c r="C88" s="197" t="n"/>
      <c r="D88" s="189" t="n"/>
      <c r="E88" s="5" t="n"/>
      <c r="F88" s="55" t="n"/>
      <c r="G88" s="53" t="n"/>
      <c r="H88" s="68" t="n"/>
      <c r="I88" s="15" t="n"/>
      <c r="J88" s="56" t="n"/>
      <c r="K88" s="56" t="n"/>
      <c r="L88" s="57" t="n"/>
      <c r="M88" s="57" t="n"/>
      <c r="N88" s="58" t="n"/>
      <c r="O88" s="7" t="n"/>
      <c r="P88" s="2" t="n"/>
      <c r="Q88" s="2" t="n"/>
    </row>
    <row r="89">
      <c r="A89" s="188" t="n"/>
      <c r="B89" s="189" t="n"/>
      <c r="C89" s="197" t="n"/>
      <c r="D89" s="189" t="n"/>
      <c r="E89" s="5" t="n"/>
      <c r="F89" s="55" t="n"/>
      <c r="G89" s="53" t="n"/>
      <c r="H89" s="68" t="n"/>
      <c r="I89" s="15" t="n"/>
      <c r="J89" s="56" t="n"/>
      <c r="K89" s="56" t="n"/>
      <c r="L89" s="57" t="n"/>
      <c r="M89" s="57" t="n"/>
      <c r="N89" s="58" t="n"/>
      <c r="O89" s="7" t="n"/>
      <c r="P89" s="2" t="n"/>
      <c r="Q89" s="2" t="n"/>
    </row>
    <row r="90">
      <c r="A90" s="188" t="n"/>
      <c r="B90" s="189" t="n"/>
      <c r="C90" s="197" t="n"/>
      <c r="D90" s="189" t="n"/>
      <c r="E90" s="5" t="n"/>
      <c r="F90" s="55" t="n"/>
      <c r="G90" s="53" t="n"/>
      <c r="H90" s="68" t="n"/>
      <c r="I90" s="15" t="n"/>
      <c r="J90" s="56" t="n"/>
      <c r="K90" s="56" t="n"/>
      <c r="L90" s="57" t="n"/>
      <c r="M90" s="57" t="n"/>
      <c r="N90" s="58" t="n"/>
      <c r="O90" s="7" t="n"/>
      <c r="P90" s="2" t="n"/>
      <c r="Q90" s="2" t="n"/>
    </row>
    <row r="91">
      <c r="A91" s="188" t="n"/>
      <c r="B91" s="189" t="n"/>
      <c r="C91" s="197" t="n"/>
      <c r="D91" s="189" t="n"/>
      <c r="E91" s="5" t="n"/>
      <c r="F91" s="55" t="n"/>
      <c r="G91" s="53" t="n"/>
      <c r="H91" s="68" t="n"/>
      <c r="I91" s="15" t="n"/>
      <c r="J91" s="56" t="n"/>
      <c r="K91" s="56" t="n"/>
      <c r="L91" s="57" t="n"/>
      <c r="M91" s="57" t="n"/>
      <c r="N91" s="58" t="n"/>
      <c r="O91" s="7" t="n"/>
      <c r="P91" s="2" t="n"/>
      <c r="Q91" s="2" t="n"/>
    </row>
    <row r="92">
      <c r="A92" s="188" t="n"/>
      <c r="B92" s="189" t="n"/>
      <c r="C92" s="197" t="n"/>
      <c r="D92" s="189" t="n"/>
      <c r="E92" s="5" t="n"/>
      <c r="F92" s="55" t="n"/>
      <c r="G92" s="53" t="n"/>
      <c r="H92" s="68" t="n"/>
      <c r="I92" s="15" t="n"/>
      <c r="J92" s="56" t="n"/>
      <c r="K92" s="56" t="n"/>
      <c r="L92" s="57" t="n"/>
      <c r="M92" s="57" t="n"/>
      <c r="N92" s="58" t="n"/>
      <c r="O92" s="7" t="n"/>
      <c r="P92" s="2" t="n"/>
      <c r="Q92" s="2" t="n"/>
    </row>
    <row r="93">
      <c r="A93" s="188" t="n"/>
      <c r="B93" s="189" t="n"/>
      <c r="C93" s="197" t="n"/>
      <c r="D93" s="189" t="n"/>
      <c r="E93" s="5" t="n"/>
      <c r="F93" s="55" t="n"/>
      <c r="G93" s="53" t="n"/>
      <c r="H93" s="68" t="n"/>
      <c r="I93" s="15" t="n"/>
      <c r="J93" s="56" t="n"/>
      <c r="K93" s="56" t="n"/>
      <c r="L93" s="57" t="n"/>
      <c r="M93" s="57" t="n"/>
      <c r="N93" s="58" t="n"/>
      <c r="O93" s="7" t="n"/>
      <c r="P93" s="2" t="n"/>
      <c r="Q93" s="2" t="n"/>
    </row>
    <row r="94">
      <c r="A94" s="188" t="n"/>
      <c r="B94" s="189" t="n"/>
      <c r="C94" s="197" t="n"/>
      <c r="D94" s="189" t="n"/>
      <c r="E94" s="5" t="n"/>
      <c r="F94" s="55" t="n"/>
      <c r="G94" s="53" t="n"/>
      <c r="H94" s="68" t="n"/>
      <c r="I94" s="15" t="n"/>
      <c r="J94" s="56" t="n"/>
      <c r="K94" s="56" t="n"/>
      <c r="L94" s="57" t="n"/>
      <c r="M94" s="57" t="n"/>
      <c r="N94" s="58" t="n"/>
      <c r="O94" s="7" t="n"/>
      <c r="P94" s="2" t="n"/>
      <c r="Q94" s="2" t="n"/>
    </row>
    <row r="95">
      <c r="A95" s="188" t="n"/>
      <c r="B95" s="189" t="n"/>
      <c r="C95" s="197" t="n"/>
      <c r="D95" s="189" t="n"/>
      <c r="E95" s="5" t="n"/>
      <c r="F95" s="55" t="n"/>
      <c r="G95" s="53" t="n"/>
      <c r="H95" s="68" t="n"/>
      <c r="I95" s="15" t="n"/>
      <c r="J95" s="56" t="n"/>
      <c r="K95" s="56" t="n"/>
      <c r="L95" s="57" t="n"/>
      <c r="M95" s="57" t="n"/>
      <c r="N95" s="58" t="n"/>
      <c r="O95" s="7" t="n"/>
      <c r="P95" s="2" t="n"/>
      <c r="Q95" s="2" t="n"/>
    </row>
    <row r="96">
      <c r="A96" s="188" t="n"/>
      <c r="B96" s="189" t="n"/>
      <c r="C96" s="197" t="n"/>
      <c r="D96" s="189" t="n"/>
      <c r="E96" s="5" t="n"/>
      <c r="F96" s="55" t="n"/>
      <c r="G96" s="53" t="n"/>
      <c r="H96" s="68" t="n"/>
      <c r="I96" s="15" t="n"/>
      <c r="J96" s="56" t="n"/>
      <c r="K96" s="56" t="n"/>
      <c r="L96" s="57" t="n"/>
      <c r="M96" s="57" t="n"/>
      <c r="N96" s="58" t="n"/>
      <c r="O96" s="7" t="n"/>
      <c r="P96" s="2" t="n"/>
      <c r="Q96" s="2" t="n"/>
    </row>
    <row r="97">
      <c r="A97" s="188" t="n"/>
      <c r="B97" s="189" t="n"/>
      <c r="C97" s="197" t="n"/>
      <c r="D97" s="189" t="n"/>
      <c r="E97" s="5" t="n"/>
      <c r="F97" s="55" t="n"/>
      <c r="G97" s="53" t="n"/>
      <c r="H97" s="68" t="n"/>
      <c r="I97" s="15" t="n"/>
      <c r="J97" s="56" t="n"/>
      <c r="K97" s="56" t="n"/>
      <c r="L97" s="57" t="n"/>
      <c r="M97" s="57" t="n"/>
      <c r="N97" s="58" t="n"/>
      <c r="O97" s="7" t="n"/>
      <c r="P97" s="2" t="n"/>
      <c r="Q97" s="2" t="n"/>
    </row>
    <row r="98">
      <c r="A98" s="188" t="n"/>
      <c r="B98" s="189" t="n"/>
      <c r="C98" s="197" t="n"/>
      <c r="D98" s="189" t="n"/>
      <c r="E98" s="5" t="n"/>
      <c r="F98" s="55" t="n"/>
      <c r="G98" s="53" t="n"/>
      <c r="H98" s="68" t="n"/>
      <c r="I98" s="15" t="n"/>
      <c r="J98" s="56" t="n"/>
      <c r="K98" s="56" t="n"/>
      <c r="L98" s="57" t="n"/>
      <c r="M98" s="57" t="n"/>
      <c r="N98" s="58" t="n"/>
      <c r="O98" s="7" t="n"/>
      <c r="P98" s="2" t="n"/>
      <c r="Q98" s="2" t="n"/>
    </row>
    <row r="99">
      <c r="A99" s="188" t="n"/>
      <c r="B99" s="189" t="n"/>
      <c r="C99" s="197" t="n"/>
      <c r="D99" s="189" t="n"/>
      <c r="E99" s="5" t="n"/>
      <c r="F99" s="55" t="n"/>
      <c r="G99" s="53" t="n"/>
      <c r="H99" s="68" t="n"/>
      <c r="I99" s="15" t="n"/>
      <c r="J99" s="56" t="n"/>
      <c r="K99" s="56" t="n"/>
      <c r="L99" s="57" t="n"/>
      <c r="M99" s="57" t="n"/>
      <c r="N99" s="58" t="n"/>
      <c r="O99" s="7" t="n"/>
      <c r="P99" s="2" t="n"/>
      <c r="Q99" s="2" t="n"/>
    </row>
    <row r="100">
      <c r="A100" s="188" t="n"/>
      <c r="B100" s="189" t="n"/>
      <c r="C100" s="197" t="n"/>
      <c r="D100" s="189" t="n"/>
      <c r="E100" s="5" t="n"/>
      <c r="F100" s="55" t="n"/>
      <c r="G100" s="53" t="n"/>
      <c r="H100" s="68" t="n"/>
      <c r="I100" s="15" t="n"/>
      <c r="J100" s="56" t="n"/>
      <c r="K100" s="56" t="n"/>
      <c r="L100" s="57" t="n"/>
      <c r="M100" s="57" t="n"/>
      <c r="N100" s="58" t="n"/>
      <c r="O100" s="7" t="n"/>
      <c r="P100" s="2" t="n"/>
      <c r="Q100" s="2" t="n"/>
    </row>
    <row r="101">
      <c r="A101" s="188" t="n"/>
      <c r="B101" s="189" t="n"/>
      <c r="C101" s="197" t="n"/>
      <c r="D101" s="189" t="n"/>
      <c r="E101" s="5" t="n"/>
      <c r="F101" s="55" t="n"/>
      <c r="G101" s="53" t="n"/>
      <c r="H101" s="68" t="n"/>
      <c r="I101" s="15" t="n"/>
      <c r="J101" s="56" t="n"/>
      <c r="K101" s="56" t="n"/>
      <c r="L101" s="57" t="n"/>
      <c r="M101" s="57" t="n"/>
      <c r="N101" s="58" t="n"/>
      <c r="O101" s="7" t="n"/>
      <c r="P101" s="2" t="n"/>
      <c r="Q101" s="2" t="n"/>
    </row>
    <row r="102">
      <c r="A102" s="188" t="n"/>
      <c r="B102" s="189" t="n"/>
      <c r="C102" s="197" t="n"/>
      <c r="D102" s="189" t="n"/>
      <c r="E102" s="5" t="n"/>
      <c r="F102" s="55" t="n"/>
      <c r="G102" s="53" t="n"/>
      <c r="H102" s="68" t="n"/>
      <c r="I102" s="15" t="n"/>
      <c r="J102" s="56" t="n"/>
      <c r="K102" s="56" t="n"/>
      <c r="L102" s="57" t="n"/>
      <c r="M102" s="57" t="n"/>
      <c r="N102" s="58" t="n"/>
      <c r="O102" s="7" t="n"/>
      <c r="P102" s="2" t="n"/>
      <c r="Q102" s="2" t="n"/>
    </row>
    <row r="103">
      <c r="A103" s="188" t="n"/>
      <c r="B103" s="189" t="n"/>
      <c r="C103" s="197" t="n"/>
      <c r="D103" s="189" t="n"/>
      <c r="E103" s="5" t="n"/>
      <c r="F103" s="55" t="n"/>
      <c r="G103" s="53" t="n"/>
      <c r="H103" s="68" t="n"/>
      <c r="I103" s="15" t="n"/>
      <c r="J103" s="56" t="n"/>
      <c r="K103" s="56" t="n"/>
      <c r="L103" s="57" t="n"/>
      <c r="M103" s="57" t="n"/>
      <c r="N103" s="58" t="n"/>
      <c r="O103" s="7" t="n"/>
      <c r="P103" s="2" t="n"/>
      <c r="Q103" s="2" t="n"/>
    </row>
    <row r="104">
      <c r="A104" s="188" t="n"/>
      <c r="B104" s="189" t="n"/>
      <c r="C104" s="197" t="n"/>
      <c r="D104" s="189" t="n"/>
      <c r="E104" s="5" t="n"/>
      <c r="F104" s="55" t="n"/>
      <c r="G104" s="53" t="n"/>
      <c r="H104" s="68" t="n"/>
      <c r="I104" s="15" t="n"/>
      <c r="J104" s="56" t="n"/>
      <c r="K104" s="56" t="n"/>
      <c r="L104" s="57" t="n"/>
      <c r="M104" s="57" t="n"/>
      <c r="N104" s="58" t="n"/>
      <c r="O104" s="7" t="n"/>
      <c r="P104" s="2" t="n"/>
      <c r="Q104" s="2" t="n"/>
    </row>
    <row r="105">
      <c r="A105" s="188" t="n"/>
      <c r="B105" s="189" t="n"/>
      <c r="C105" s="197" t="n"/>
      <c r="D105" s="189" t="n"/>
      <c r="E105" s="5" t="n"/>
      <c r="F105" s="55" t="n"/>
      <c r="G105" s="53" t="n"/>
      <c r="H105" s="68" t="n"/>
      <c r="I105" s="15" t="n"/>
      <c r="J105" s="56" t="n"/>
      <c r="K105" s="56" t="n"/>
      <c r="L105" s="57" t="n"/>
      <c r="M105" s="57" t="n"/>
      <c r="N105" s="58" t="n"/>
      <c r="O105" s="7" t="n"/>
      <c r="P105" s="2" t="n"/>
      <c r="Q105" s="2" t="n"/>
    </row>
    <row r="106">
      <c r="A106" s="188" t="n"/>
      <c r="B106" s="189" t="n"/>
      <c r="C106" s="197" t="n"/>
      <c r="D106" s="189" t="n"/>
      <c r="E106" s="5" t="n"/>
      <c r="F106" s="55" t="n"/>
      <c r="G106" s="53" t="n"/>
      <c r="H106" s="68" t="n"/>
      <c r="I106" s="15" t="n"/>
      <c r="J106" s="56" t="n"/>
      <c r="K106" s="56" t="n"/>
      <c r="L106" s="57" t="n"/>
      <c r="M106" s="57" t="n"/>
      <c r="N106" s="58" t="n"/>
      <c r="O106" s="7" t="n"/>
      <c r="P106" s="2" t="n"/>
      <c r="Q106" s="2" t="n"/>
    </row>
    <row r="107">
      <c r="A107" s="188" t="n"/>
      <c r="B107" s="189" t="n"/>
      <c r="C107" s="197" t="n"/>
      <c r="D107" s="189" t="n"/>
      <c r="E107" s="5" t="n"/>
      <c r="F107" s="55" t="n"/>
      <c r="G107" s="53" t="n"/>
      <c r="H107" s="68" t="n"/>
      <c r="I107" s="15" t="n"/>
      <c r="J107" s="56" t="n"/>
      <c r="K107" s="56" t="n"/>
      <c r="L107" s="57" t="n"/>
      <c r="M107" s="57" t="n"/>
      <c r="N107" s="58" t="n"/>
    </row>
    <row r="108">
      <c r="A108" s="188" t="n"/>
      <c r="B108" s="189" t="n"/>
      <c r="C108" s="197" t="n"/>
      <c r="D108" s="189" t="n"/>
      <c r="E108" s="5" t="n"/>
      <c r="F108" s="55" t="n"/>
      <c r="G108" s="53" t="n"/>
      <c r="H108" s="68" t="n"/>
      <c r="I108" s="15" t="n"/>
      <c r="J108" s="56" t="n"/>
      <c r="K108" s="56" t="n"/>
      <c r="L108" s="57" t="n"/>
      <c r="M108" s="57" t="n"/>
      <c r="N108" s="58" t="n"/>
    </row>
    <row r="109">
      <c r="A109" s="188" t="n"/>
      <c r="B109" s="189" t="n"/>
      <c r="C109" s="197" t="n"/>
      <c r="D109" s="189" t="n"/>
      <c r="E109" s="5" t="n"/>
      <c r="F109" s="55" t="n"/>
      <c r="G109" s="53" t="n"/>
      <c r="H109" s="68" t="n"/>
      <c r="I109" s="15" t="n"/>
      <c r="J109" s="56" t="n"/>
      <c r="K109" s="56" t="n"/>
      <c r="L109" s="57" t="n"/>
      <c r="M109" s="57" t="n"/>
      <c r="N109" s="58" t="n"/>
    </row>
    <row r="110">
      <c r="A110" s="188" t="n"/>
      <c r="B110" s="189" t="n"/>
      <c r="C110" s="197" t="n"/>
      <c r="D110" s="189" t="n"/>
      <c r="E110" s="5" t="n"/>
      <c r="F110" s="55" t="n"/>
      <c r="G110" s="53" t="n"/>
      <c r="H110" s="68" t="n"/>
      <c r="I110" s="15" t="n"/>
      <c r="J110" s="56" t="n"/>
      <c r="K110" s="56" t="n"/>
      <c r="L110" s="57" t="n"/>
      <c r="M110" s="57" t="n"/>
      <c r="N110" s="58" t="n"/>
    </row>
    <row r="111">
      <c r="A111" s="188" t="n"/>
      <c r="B111" s="189" t="n"/>
      <c r="C111" s="197" t="n"/>
      <c r="D111" s="189" t="n"/>
      <c r="E111" s="5" t="n"/>
      <c r="F111" s="55" t="n"/>
      <c r="G111" s="53" t="n"/>
      <c r="H111" s="68" t="n"/>
      <c r="I111" s="15" t="n"/>
      <c r="J111" s="56" t="n"/>
      <c r="K111" s="56" t="n"/>
      <c r="L111" s="57" t="n"/>
      <c r="M111" s="57" t="n"/>
      <c r="N111" s="58" t="n"/>
    </row>
    <row r="112">
      <c r="A112" s="188" t="n"/>
      <c r="B112" s="189" t="n"/>
      <c r="C112" s="197" t="n"/>
      <c r="D112" s="189" t="n"/>
      <c r="E112" s="5" t="n"/>
      <c r="F112" s="55" t="n"/>
      <c r="G112" s="53" t="n"/>
      <c r="H112" s="68" t="n"/>
      <c r="I112" s="15" t="n"/>
      <c r="J112" s="56" t="n"/>
      <c r="K112" s="56" t="n"/>
      <c r="L112" s="57" t="n"/>
      <c r="M112" s="57" t="n"/>
      <c r="N112" s="58" t="n"/>
    </row>
    <row r="113" ht="19.5" customHeight="1" s="180" thickBot="1">
      <c r="A113" s="188" t="n"/>
      <c r="B113" s="189" t="n"/>
      <c r="C113" s="197" t="n"/>
      <c r="D113" s="189" t="n"/>
      <c r="E113" s="5" t="n"/>
      <c r="F113" s="55" t="inlineStr">
        <is>
          <t>　</t>
        </is>
      </c>
      <c r="G113" s="53" t="n"/>
      <c r="H113" s="68" t="n"/>
      <c r="I113" s="15" t="n"/>
      <c r="J113" s="56" t="n"/>
      <c r="K113" s="56" t="n"/>
      <c r="L113" s="57" t="n"/>
      <c r="M113" s="57" t="n"/>
      <c r="N113" s="58" t="n"/>
    </row>
    <row r="114" ht="19.5" customHeight="1" s="180" thickBot="1">
      <c r="A114" s="188" t="n"/>
      <c r="B114" s="189" t="n"/>
      <c r="C114" s="197" t="n"/>
      <c r="D114" s="189" t="n"/>
      <c r="E114" s="5" t="n"/>
      <c r="F114" s="172" t="n"/>
      <c r="G114" s="35">
        <f>SUM(G2:G88)</f>
        <v/>
      </c>
      <c r="H114" s="35">
        <f>SUM(H3:H88)</f>
        <v/>
      </c>
      <c r="I114" s="35">
        <f>SUM(I3:I88)</f>
        <v/>
      </c>
      <c r="J114" s="35">
        <f>SUM(J3:J88)</f>
        <v/>
      </c>
      <c r="K114" s="35">
        <f>SUM(K3:K88)</f>
        <v/>
      </c>
      <c r="L114" s="35">
        <f>SUM(L3:L88)</f>
        <v/>
      </c>
      <c r="M114" s="35">
        <f>SUM(M3:M88)</f>
        <v/>
      </c>
      <c r="N114" s="17">
        <f>SUM(N3:N88)</f>
        <v/>
      </c>
    </row>
    <row r="115" ht="19.5" customHeight="1" s="180" thickBot="1">
      <c r="A115" s="170" t="inlineStr">
        <is>
          <t>合計</t>
        </is>
      </c>
      <c r="B115" s="171" t="n"/>
      <c r="C115" s="171" t="n"/>
      <c r="D115" s="171" t="n"/>
      <c r="E115" s="171" t="n"/>
    </row>
  </sheetData>
  <autoFilter ref="A1:N73">
    <filterColumn colId="0" hiddenButton="0" showButton="0"/>
    <filterColumn colId="2" hiddenButton="0" showButton="0"/>
  </autoFilter>
  <mergeCells count="228">
    <mergeCell ref="C6:D6"/>
    <mergeCell ref="A64:B64"/>
    <mergeCell ref="A15:B15"/>
    <mergeCell ref="C62:D62"/>
    <mergeCell ref="A98:B98"/>
    <mergeCell ref="A73:B73"/>
    <mergeCell ref="C15:D15"/>
    <mergeCell ref="C98:D98"/>
    <mergeCell ref="A107:B107"/>
    <mergeCell ref="A51:B51"/>
    <mergeCell ref="C107:D107"/>
    <mergeCell ref="C89:D89"/>
    <mergeCell ref="A88:B88"/>
    <mergeCell ref="A70:B70"/>
    <mergeCell ref="C64:D64"/>
    <mergeCell ref="C79:D79"/>
    <mergeCell ref="C73:D73"/>
    <mergeCell ref="A54:B54"/>
    <mergeCell ref="A7:B7"/>
    <mergeCell ref="C54:D54"/>
    <mergeCell ref="C1:D1"/>
    <mergeCell ref="A90:B90"/>
    <mergeCell ref="A41:B41"/>
    <mergeCell ref="C63:D63"/>
    <mergeCell ref="C41:D41"/>
    <mergeCell ref="A99:B99"/>
    <mergeCell ref="C93:D93"/>
    <mergeCell ref="C50:D50"/>
    <mergeCell ref="A74:B74"/>
    <mergeCell ref="A56:B56"/>
    <mergeCell ref="A27:B27"/>
    <mergeCell ref="C56:D56"/>
    <mergeCell ref="C105:D105"/>
    <mergeCell ref="C43:D43"/>
    <mergeCell ref="A101:B101"/>
    <mergeCell ref="A76:B76"/>
    <mergeCell ref="A33:B33"/>
    <mergeCell ref="C76:D76"/>
    <mergeCell ref="A85:B85"/>
    <mergeCell ref="A42:B42"/>
    <mergeCell ref="C27:D27"/>
    <mergeCell ref="C36:D36"/>
    <mergeCell ref="A17:B17"/>
    <mergeCell ref="C17:D17"/>
    <mergeCell ref="A53:B53"/>
    <mergeCell ref="A109:B109"/>
    <mergeCell ref="A35:B35"/>
    <mergeCell ref="A22:B22"/>
    <mergeCell ref="A62:B62"/>
    <mergeCell ref="C67:D67"/>
    <mergeCell ref="A68:B68"/>
    <mergeCell ref="A19:B19"/>
    <mergeCell ref="C19:D19"/>
    <mergeCell ref="A28:B28"/>
    <mergeCell ref="A111:B111"/>
    <mergeCell ref="C28:D28"/>
    <mergeCell ref="C111:D111"/>
    <mergeCell ref="A9:B9"/>
    <mergeCell ref="C3:D3"/>
    <mergeCell ref="A39:B39"/>
    <mergeCell ref="C69:D69"/>
    <mergeCell ref="C83:D83"/>
    <mergeCell ref="A48:B48"/>
    <mergeCell ref="A30:B30"/>
    <mergeCell ref="C92:D92"/>
    <mergeCell ref="C30:D30"/>
    <mergeCell ref="A59:B59"/>
    <mergeCell ref="A11:B11"/>
    <mergeCell ref="C5:D5"/>
    <mergeCell ref="A103:B103"/>
    <mergeCell ref="A45:B45"/>
    <mergeCell ref="C14:D14"/>
    <mergeCell ref="C45:D45"/>
    <mergeCell ref="C97:D97"/>
    <mergeCell ref="A79:B79"/>
    <mergeCell ref="A61:B61"/>
    <mergeCell ref="A87:B87"/>
    <mergeCell ref="C4:D4"/>
    <mergeCell ref="C109:D109"/>
    <mergeCell ref="C47:D47"/>
    <mergeCell ref="A46:B46"/>
    <mergeCell ref="A37:B37"/>
    <mergeCell ref="A89:B89"/>
    <mergeCell ref="C40:D40"/>
    <mergeCell ref="A105:B105"/>
    <mergeCell ref="A26:B26"/>
    <mergeCell ref="C90:D90"/>
    <mergeCell ref="C60:D60"/>
    <mergeCell ref="A71:B71"/>
    <mergeCell ref="C71:D71"/>
    <mergeCell ref="C110:D110"/>
    <mergeCell ref="A8:B8"/>
    <mergeCell ref="A91:B91"/>
    <mergeCell ref="C8:D8"/>
    <mergeCell ref="C91:D91"/>
    <mergeCell ref="A100:B100"/>
    <mergeCell ref="C82:D82"/>
    <mergeCell ref="A52:B52"/>
    <mergeCell ref="A63:B63"/>
    <mergeCell ref="A10:B10"/>
    <mergeCell ref="C57:D57"/>
    <mergeCell ref="A93:B93"/>
    <mergeCell ref="C66:D66"/>
    <mergeCell ref="A102:B102"/>
    <mergeCell ref="C18:D18"/>
    <mergeCell ref="C102:D102"/>
    <mergeCell ref="C53:D53"/>
    <mergeCell ref="A77:B77"/>
    <mergeCell ref="A83:B83"/>
    <mergeCell ref="A34:B34"/>
    <mergeCell ref="C77:D77"/>
    <mergeCell ref="C34:D34"/>
    <mergeCell ref="A92:B92"/>
    <mergeCell ref="C86:D86"/>
    <mergeCell ref="C68:D68"/>
    <mergeCell ref="C108:D108"/>
    <mergeCell ref="A49:B49"/>
    <mergeCell ref="C58:D58"/>
    <mergeCell ref="A36:B36"/>
    <mergeCell ref="A1:B1"/>
    <mergeCell ref="A94:B94"/>
    <mergeCell ref="A69:B69"/>
    <mergeCell ref="C113:D113"/>
    <mergeCell ref="A78:B78"/>
    <mergeCell ref="C20:D20"/>
    <mergeCell ref="C78:D78"/>
    <mergeCell ref="C29:D29"/>
    <mergeCell ref="C85:D85"/>
    <mergeCell ref="C100:D100"/>
    <mergeCell ref="C112:D112"/>
    <mergeCell ref="A65:B65"/>
    <mergeCell ref="C94:D94"/>
    <mergeCell ref="C65:D65"/>
    <mergeCell ref="A75:B75"/>
    <mergeCell ref="C84:D84"/>
    <mergeCell ref="C75:D75"/>
    <mergeCell ref="C44:D44"/>
    <mergeCell ref="A80:B80"/>
    <mergeCell ref="C22:D22"/>
    <mergeCell ref="C80:D80"/>
    <mergeCell ref="C31:D31"/>
    <mergeCell ref="A3:B3"/>
    <mergeCell ref="C114:D114"/>
    <mergeCell ref="A55:B55"/>
    <mergeCell ref="A12:B12"/>
    <mergeCell ref="C59:D59"/>
    <mergeCell ref="C12:D12"/>
    <mergeCell ref="A21:B21"/>
    <mergeCell ref="C46:D46"/>
    <mergeCell ref="A104:B104"/>
    <mergeCell ref="C21:D21"/>
    <mergeCell ref="A57:B57"/>
    <mergeCell ref="A113:B113"/>
    <mergeCell ref="C95:D95"/>
    <mergeCell ref="C51:D51"/>
    <mergeCell ref="A5:B5"/>
    <mergeCell ref="A32:B32"/>
    <mergeCell ref="A14:B14"/>
    <mergeCell ref="C61:D61"/>
    <mergeCell ref="C70:D70"/>
    <mergeCell ref="A23:B23"/>
    <mergeCell ref="C48:D48"/>
    <mergeCell ref="A106:B106"/>
    <mergeCell ref="C23:D23"/>
    <mergeCell ref="C106:D106"/>
    <mergeCell ref="A4:B4"/>
    <mergeCell ref="A96:B96"/>
    <mergeCell ref="A38:B38"/>
    <mergeCell ref="C32:D32"/>
    <mergeCell ref="C7:D7"/>
    <mergeCell ref="C38:D38"/>
    <mergeCell ref="A43:B43"/>
    <mergeCell ref="A40:B40"/>
    <mergeCell ref="A67:B67"/>
    <mergeCell ref="C49:D49"/>
    <mergeCell ref="C101:D101"/>
    <mergeCell ref="A24:B24"/>
    <mergeCell ref="C24:D24"/>
    <mergeCell ref="A82:B82"/>
    <mergeCell ref="A60:B60"/>
    <mergeCell ref="C33:D33"/>
    <mergeCell ref="C104:D104"/>
    <mergeCell ref="C42:D42"/>
    <mergeCell ref="C74:D74"/>
    <mergeCell ref="A110:B110"/>
    <mergeCell ref="C88:D88"/>
    <mergeCell ref="C26:D26"/>
    <mergeCell ref="A6:B6"/>
    <mergeCell ref="C35:D35"/>
    <mergeCell ref="A16:B16"/>
    <mergeCell ref="C10:D10"/>
    <mergeCell ref="C16:D16"/>
    <mergeCell ref="A25:B25"/>
    <mergeCell ref="C103:D103"/>
    <mergeCell ref="A108:B108"/>
    <mergeCell ref="C25:D25"/>
    <mergeCell ref="C99:D99"/>
    <mergeCell ref="A84:B84"/>
    <mergeCell ref="C55:D55"/>
    <mergeCell ref="A66:B66"/>
    <mergeCell ref="C9:D9"/>
    <mergeCell ref="A18:B18"/>
    <mergeCell ref="A50:B50"/>
    <mergeCell ref="A2:B2"/>
    <mergeCell ref="A86:B86"/>
    <mergeCell ref="C2:D2"/>
    <mergeCell ref="A95:B95"/>
    <mergeCell ref="C11:D11"/>
    <mergeCell ref="A47:B47"/>
    <mergeCell ref="C52:D52"/>
    <mergeCell ref="C39:D39"/>
    <mergeCell ref="A97:B97"/>
    <mergeCell ref="A20:B20"/>
    <mergeCell ref="A72:B72"/>
    <mergeCell ref="A29:B29"/>
    <mergeCell ref="C72:D72"/>
    <mergeCell ref="A112:B112"/>
    <mergeCell ref="A81:B81"/>
    <mergeCell ref="C81:D81"/>
    <mergeCell ref="C37:D37"/>
    <mergeCell ref="A13:B13"/>
    <mergeCell ref="A44:B44"/>
    <mergeCell ref="C13:D13"/>
    <mergeCell ref="C96:D96"/>
    <mergeCell ref="A31:B31"/>
    <mergeCell ref="A58:B58"/>
    <mergeCell ref="A114:B114"/>
    <mergeCell ref="C87:D87"/>
  </mergeCells>
  <pageMargins left="0.25" right="0.25" top="0.75" bottom="0.75" header="0.3" footer="0.3"/>
  <pageSetup orientation="landscape" paperSize="9" scale="50" horizontalDpi="0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BV65"/>
  <sheetViews>
    <sheetView zoomScale="80" zoomScaleNormal="80" workbookViewId="0">
      <selection activeCell="A2" sqref="A2:N8"/>
    </sheetView>
  </sheetViews>
  <sheetFormatPr baseColWidth="10" defaultColWidth="8.6640625" defaultRowHeight="18"/>
  <cols>
    <col width="9.6640625" customWidth="1" style="200" min="1" max="1"/>
    <col width="6.5" customWidth="1" style="200" min="2" max="2"/>
    <col width="8.1640625" customWidth="1" style="200" min="3" max="3"/>
    <col width="10.1640625" customWidth="1" style="200" min="4" max="5"/>
    <col width="11.83203125" customWidth="1" style="200" min="6" max="6"/>
    <col width="12.6640625" customWidth="1" style="200" min="7" max="7"/>
    <col width="13" customWidth="1" style="200" min="8" max="8"/>
    <col width="12.5" customWidth="1" style="200" min="9" max="9"/>
    <col width="12.33203125" customWidth="1" style="200" min="10" max="10"/>
    <col width="11.83203125" customWidth="1" style="200" min="11" max="12"/>
    <col width="12.5" customWidth="1" style="200" min="13" max="15"/>
    <col width="8.6640625" customWidth="1" style="200" min="16" max="23"/>
    <col width="8.83203125" customWidth="1" style="200" min="24" max="24"/>
    <col width="8.6640625" customWidth="1" style="200" min="25" max="26"/>
    <col width="8.6640625" customWidth="1" style="200" min="27" max="16384"/>
  </cols>
  <sheetData>
    <row r="1" ht="19.5" customHeight="1" s="180" thickBot="1">
      <c r="A1" s="240" t="inlineStr">
        <is>
          <t>日付</t>
        </is>
      </c>
      <c r="B1" s="239" t="n"/>
      <c r="C1" s="238" t="inlineStr">
        <is>
          <t>お客様</t>
        </is>
      </c>
      <c r="D1" s="239" t="n"/>
      <c r="E1" s="37" t="inlineStr">
        <is>
          <t>担当</t>
        </is>
      </c>
      <c r="F1" s="37" t="inlineStr">
        <is>
          <t>備考</t>
        </is>
      </c>
      <c r="G1" s="238" t="inlineStr">
        <is>
          <t>売上</t>
        </is>
      </c>
      <c r="H1" s="9" t="inlineStr">
        <is>
          <t>体験</t>
        </is>
      </c>
      <c r="I1" s="10" t="inlineStr">
        <is>
          <t>前金</t>
        </is>
      </c>
      <c r="J1" s="10" t="inlineStr">
        <is>
          <t>ハーブ</t>
        </is>
      </c>
      <c r="K1" s="10" t="inlineStr">
        <is>
          <t>都度</t>
        </is>
      </c>
      <c r="L1" s="10" t="inlineStr">
        <is>
          <t>回数券</t>
        </is>
      </c>
      <c r="M1" s="9" t="inlineStr">
        <is>
          <t>OP</t>
        </is>
      </c>
      <c r="N1" s="11" t="inlineStr">
        <is>
          <t>物販</t>
        </is>
      </c>
      <c r="O1" s="12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  <c r="BV1" s="13" t="n"/>
    </row>
    <row r="2">
      <c r="A2" s="188" t="n"/>
      <c r="B2" s="189" t="n"/>
      <c r="C2" s="205" t="n"/>
      <c r="D2" s="189" t="n"/>
      <c r="E2" s="5" t="n"/>
      <c r="F2" s="205" t="n"/>
      <c r="G2" s="5" t="n"/>
      <c r="H2" s="244" t="n"/>
      <c r="I2" s="14" t="n"/>
      <c r="J2" s="14" t="n"/>
      <c r="K2" s="14" t="n"/>
      <c r="L2" s="15" t="n"/>
      <c r="M2" s="14" t="n"/>
      <c r="N2" s="38" t="n"/>
      <c r="O2" s="12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  <c r="BV2" s="13" t="n"/>
    </row>
    <row r="3" ht="17.75" customFormat="1" customHeight="1" s="12">
      <c r="A3" s="188" t="n"/>
      <c r="B3" s="189" t="n"/>
      <c r="C3" s="205" t="n"/>
      <c r="D3" s="189" t="n"/>
      <c r="E3" s="5" t="n"/>
      <c r="F3" s="196" t="n"/>
      <c r="G3" s="196" t="n"/>
      <c r="H3" s="150" t="n"/>
      <c r="I3" s="156" t="n"/>
      <c r="J3" s="156" t="n"/>
      <c r="K3" s="156" t="n"/>
      <c r="L3" s="153" t="n"/>
      <c r="M3" s="156" t="n"/>
      <c r="N3" s="38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</row>
    <row r="4" ht="17.75" customFormat="1" customHeight="1" s="12">
      <c r="A4" s="188" t="n"/>
      <c r="B4" s="189" t="n"/>
      <c r="C4" s="205" t="n"/>
      <c r="D4" s="189" t="n"/>
      <c r="E4" s="5" t="n"/>
      <c r="F4" s="198" t="n"/>
      <c r="G4" s="123" t="n"/>
      <c r="H4" s="150" t="n"/>
      <c r="I4" s="156" t="n"/>
      <c r="J4" s="156" t="n"/>
      <c r="K4" s="156" t="n"/>
      <c r="L4" s="153" t="n"/>
      <c r="M4" s="14" t="n"/>
      <c r="N4" s="38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</row>
    <row r="5" ht="17.75" customFormat="1" customHeight="1" s="12">
      <c r="A5" s="188" t="n"/>
      <c r="B5" s="189" t="n"/>
      <c r="C5" s="205" t="n"/>
      <c r="D5" s="189" t="n"/>
      <c r="E5" s="5" t="n"/>
      <c r="F5" s="197" t="n"/>
      <c r="G5" s="108" t="n"/>
      <c r="H5" s="244" t="n"/>
      <c r="I5" s="14" t="n"/>
      <c r="J5" s="14" t="n"/>
      <c r="K5" s="14" t="n"/>
      <c r="L5" s="15" t="n"/>
      <c r="M5" s="14" t="n"/>
      <c r="N5" s="38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</row>
    <row r="6" ht="17.25" customFormat="1" customHeight="1" s="12">
      <c r="A6" s="188" t="n"/>
      <c r="B6" s="189" t="n"/>
      <c r="C6" s="197" t="n"/>
      <c r="D6" s="189" t="n"/>
      <c r="E6" s="5" t="n"/>
      <c r="F6" s="55" t="n"/>
      <c r="G6" s="53" t="n"/>
      <c r="H6" s="68" t="n"/>
      <c r="I6" s="15" t="n"/>
      <c r="J6" s="56" t="n"/>
      <c r="K6" s="56" t="n"/>
      <c r="L6" s="57" t="n"/>
      <c r="M6" s="57" t="n"/>
      <c r="N6" s="58" t="n"/>
      <c r="O6" s="7" t="n"/>
      <c r="P6" s="2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7.75" customFormat="1" customHeight="1" s="12">
      <c r="A7" s="188" t="n"/>
      <c r="B7" s="189" t="n"/>
      <c r="C7" s="205" t="n"/>
      <c r="D7" s="189" t="n"/>
      <c r="E7" s="5" t="n"/>
      <c r="F7" s="151" t="n"/>
      <c r="G7" s="196" t="n"/>
      <c r="H7" s="152" t="n"/>
      <c r="I7" s="153" t="n"/>
      <c r="J7" s="154" t="n"/>
      <c r="K7" s="154" t="n"/>
      <c r="L7" s="155" t="n"/>
      <c r="M7" s="56" t="n"/>
      <c r="N7" s="58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</row>
    <row r="8" ht="17.75" customFormat="1" customHeight="1" s="12">
      <c r="A8" s="188" t="n"/>
      <c r="B8" s="189" t="n"/>
      <c r="C8" s="197" t="n"/>
      <c r="D8" s="189" t="n"/>
      <c r="E8" s="5" t="n"/>
      <c r="F8" s="55" t="n"/>
      <c r="G8" s="53" t="n"/>
      <c r="H8" s="68" t="n"/>
      <c r="I8" s="15" t="n"/>
      <c r="J8" s="56" t="n"/>
      <c r="K8" s="56" t="n"/>
      <c r="L8" s="57" t="n"/>
      <c r="M8" s="56" t="n"/>
      <c r="N8" s="58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16" t="n"/>
      <c r="BH8" s="16" t="n"/>
      <c r="BI8" s="16" t="n"/>
      <c r="BJ8" s="16" t="n"/>
      <c r="BK8" s="16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</row>
    <row r="9" ht="17.75" customFormat="1" customHeight="1" s="12">
      <c r="A9" s="188" t="n"/>
      <c r="B9" s="189" t="n"/>
      <c r="C9" s="197" t="n"/>
      <c r="D9" s="189" t="n"/>
      <c r="E9" s="5" t="n"/>
      <c r="F9" s="197" t="n"/>
      <c r="G9" s="205" t="n"/>
      <c r="H9" s="244" t="n"/>
      <c r="I9" s="14" t="n"/>
      <c r="J9" s="14" t="n"/>
      <c r="K9" s="14" t="n"/>
      <c r="L9" s="15" t="n"/>
      <c r="M9" s="14" t="n"/>
      <c r="N9" s="38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n"/>
      <c r="BK9" s="16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</row>
    <row r="10" ht="17.75" customFormat="1" customHeight="1" s="7">
      <c r="A10" s="188" t="n"/>
      <c r="B10" s="189" t="n"/>
      <c r="C10" s="197" t="n"/>
      <c r="D10" s="189" t="n"/>
      <c r="E10" s="5" t="n"/>
      <c r="F10" s="197" t="n"/>
      <c r="G10" s="205" t="n"/>
      <c r="H10" s="244" t="n"/>
      <c r="I10" s="14" t="n"/>
      <c r="J10" s="14" t="n"/>
      <c r="K10" s="14" t="n"/>
      <c r="L10" s="15" t="n"/>
      <c r="M10" s="14" t="n"/>
      <c r="N10" s="38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</row>
    <row r="11" ht="17.75" customFormat="1" customHeight="1" s="12">
      <c r="A11" s="188" t="n"/>
      <c r="B11" s="189" t="n"/>
      <c r="C11" s="205" t="n"/>
      <c r="D11" s="189" t="n"/>
      <c r="E11" s="5" t="n"/>
      <c r="F11" s="197" t="n"/>
      <c r="G11" s="205" t="n"/>
      <c r="H11" s="244" t="n"/>
      <c r="I11" s="14" t="n"/>
      <c r="J11" s="14" t="n"/>
      <c r="K11" s="14" t="n"/>
      <c r="L11" s="15" t="n"/>
      <c r="M11" s="14" t="n"/>
      <c r="N11" s="38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</row>
    <row r="12" ht="17.75" customFormat="1" customHeight="1" s="12">
      <c r="A12" s="188" t="n"/>
      <c r="B12" s="189" t="n"/>
      <c r="C12" s="198" t="n"/>
      <c r="D12" s="189" t="n"/>
      <c r="E12" s="161" t="n"/>
      <c r="F12" s="55" t="n"/>
      <c r="G12" s="53" t="n"/>
      <c r="H12" s="68" t="n"/>
      <c r="I12" s="15" t="n"/>
      <c r="J12" s="56" t="n"/>
      <c r="K12" s="56" t="n"/>
      <c r="L12" s="57" t="n"/>
      <c r="M12" s="14" t="n"/>
      <c r="N12" s="38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</row>
    <row r="13">
      <c r="A13" s="188" t="n"/>
      <c r="B13" s="189" t="n"/>
      <c r="C13" s="198" t="n"/>
      <c r="D13" s="189" t="n"/>
      <c r="E13" s="5" t="n"/>
      <c r="F13" s="55" t="n"/>
      <c r="G13" s="53" t="n"/>
      <c r="H13" s="68" t="n"/>
      <c r="I13" s="15" t="n"/>
      <c r="J13" s="56" t="n"/>
      <c r="K13" s="56" t="n"/>
      <c r="L13" s="57" t="n"/>
      <c r="M13" s="57" t="n"/>
      <c r="N13" s="58" t="n"/>
      <c r="O13" s="7" t="n"/>
      <c r="P13" s="2" t="n"/>
    </row>
    <row r="14">
      <c r="A14" s="188" t="n"/>
      <c r="B14" s="189" t="n"/>
      <c r="C14" s="197" t="n"/>
      <c r="D14" s="189" t="n"/>
      <c r="E14" s="5" t="n"/>
      <c r="F14" s="55" t="n"/>
      <c r="G14" s="53" t="n"/>
      <c r="H14" s="68" t="n"/>
      <c r="I14" s="14" t="n"/>
      <c r="J14" s="56" t="n"/>
      <c r="K14" s="56" t="n"/>
      <c r="L14" s="57" t="n"/>
      <c r="M14" s="56" t="n"/>
      <c r="N14" s="58" t="n"/>
      <c r="O14" s="7" t="n"/>
      <c r="P14" s="2" t="n"/>
    </row>
    <row r="15" ht="17.75" customFormat="1" customHeight="1" s="7">
      <c r="A15" s="188" t="n"/>
      <c r="B15" s="189" t="n"/>
      <c r="C15" s="196" t="n"/>
      <c r="D15" s="189" t="n"/>
      <c r="E15" s="5" t="n"/>
      <c r="F15" s="205" t="n"/>
      <c r="G15" s="205" t="n"/>
      <c r="H15" s="68" t="n"/>
      <c r="I15" s="14" t="n"/>
      <c r="J15" s="14" t="n"/>
      <c r="K15" s="14" t="n"/>
      <c r="L15" s="57" t="n"/>
      <c r="M15" s="14" t="n"/>
      <c r="N15" s="38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</row>
    <row r="16" ht="18.5" customFormat="1" customHeight="1" s="12">
      <c r="A16" s="192" t="n"/>
      <c r="B16" s="189" t="n"/>
      <c r="C16" s="196" t="n"/>
      <c r="D16" s="189" t="n"/>
      <c r="E16" s="5" t="n"/>
      <c r="F16" s="55" t="n"/>
      <c r="G16" s="53" t="n"/>
      <c r="H16" s="68" t="n"/>
      <c r="I16" s="15" t="n"/>
      <c r="J16" s="56" t="n"/>
      <c r="K16" s="56" t="n"/>
      <c r="L16" s="57" t="n"/>
      <c r="M16" s="57" t="n"/>
      <c r="N16" s="58" t="n"/>
      <c r="Q16" s="2" t="n"/>
      <c r="R16" s="13" t="n"/>
    </row>
    <row r="17" ht="17.5" customFormat="1" customHeight="1" s="12">
      <c r="A17" s="188" t="n"/>
      <c r="B17" s="189" t="n"/>
      <c r="C17" s="205" t="n"/>
      <c r="D17" s="189" t="n"/>
      <c r="E17" s="5" t="n"/>
      <c r="F17" s="197" t="n"/>
      <c r="G17" s="205" t="n"/>
      <c r="H17" s="244" t="n"/>
      <c r="I17" s="14" t="n"/>
      <c r="J17" s="14" t="n"/>
      <c r="K17" s="14" t="n"/>
      <c r="L17" s="15" t="n"/>
      <c r="M17" s="14" t="n"/>
      <c r="N17" s="38" t="n"/>
      <c r="Q17" s="2" t="n"/>
      <c r="R17" s="13" t="n"/>
    </row>
    <row r="18" ht="17.75" customFormat="1" customHeight="1" s="12">
      <c r="A18" s="188" t="n"/>
      <c r="B18" s="189" t="n"/>
      <c r="C18" s="197" t="n"/>
      <c r="D18" s="189" t="n"/>
      <c r="E18" s="5" t="n"/>
      <c r="F18" s="205" t="n"/>
      <c r="G18" s="205" t="n"/>
      <c r="H18" s="244" t="n"/>
      <c r="I18" s="14" t="n"/>
      <c r="J18" s="14" t="n"/>
      <c r="K18" s="14" t="n"/>
      <c r="L18" s="15" t="n"/>
      <c r="M18" s="14" t="n"/>
      <c r="N18" s="38" t="n"/>
      <c r="Q18" s="2" t="n"/>
      <c r="R18" s="13" t="n"/>
    </row>
    <row r="19" ht="17.75" customFormat="1" customHeight="1" s="12">
      <c r="A19" s="188" t="n"/>
      <c r="B19" s="189" t="n"/>
      <c r="C19" s="197" t="n"/>
      <c r="D19" s="189" t="n"/>
      <c r="E19" s="5" t="n"/>
      <c r="F19" s="197" t="n"/>
      <c r="G19" s="205" t="n"/>
      <c r="H19" s="244" t="n"/>
      <c r="I19" s="14" t="n"/>
      <c r="J19" s="14" t="n"/>
      <c r="K19" s="14" t="n"/>
      <c r="L19" s="15" t="n"/>
      <c r="M19" s="14" t="n"/>
      <c r="N19" s="38" t="n"/>
      <c r="Q19" s="2" t="n"/>
      <c r="R19" s="13" t="n"/>
    </row>
    <row r="20" ht="17.75" customFormat="1" customHeight="1" s="12">
      <c r="A20" s="188" t="n"/>
      <c r="B20" s="189" t="n"/>
      <c r="C20" s="197" t="n"/>
      <c r="D20" s="189" t="n"/>
      <c r="E20" s="5" t="n"/>
      <c r="F20" s="197" t="n"/>
      <c r="G20" s="205" t="n"/>
      <c r="H20" s="244" t="n"/>
      <c r="I20" s="14" t="n"/>
      <c r="J20" s="14" t="n"/>
      <c r="K20" s="14" t="n"/>
      <c r="L20" s="15" t="n"/>
      <c r="M20" s="14" t="n"/>
      <c r="N20" s="38" t="n"/>
      <c r="Q20" s="13" t="n"/>
      <c r="R20" s="13" t="n"/>
    </row>
    <row r="21" ht="17.75" customFormat="1" customHeight="1" s="12">
      <c r="A21" s="188" t="n"/>
      <c r="B21" s="189" t="n"/>
      <c r="C21" s="197" t="n"/>
      <c r="D21" s="189" t="n"/>
      <c r="E21" s="5" t="n"/>
      <c r="F21" s="205" t="n"/>
      <c r="G21" s="205" t="n"/>
      <c r="H21" s="244" t="n"/>
      <c r="I21" s="14" t="n"/>
      <c r="J21" s="14" t="n"/>
      <c r="K21" s="14" t="n"/>
      <c r="L21" s="15" t="n"/>
      <c r="M21" s="14" t="n"/>
      <c r="N21" s="38" t="n"/>
      <c r="Q21" s="13" t="n"/>
      <c r="R21" s="13" t="n"/>
    </row>
    <row r="22" ht="17.75" customFormat="1" customHeight="1" s="12">
      <c r="A22" s="188" t="n"/>
      <c r="B22" s="189" t="n"/>
      <c r="C22" s="205" t="n"/>
      <c r="D22" s="189" t="n"/>
      <c r="E22" s="5" t="n"/>
      <c r="F22" s="55" t="n"/>
      <c r="G22" s="53" t="n"/>
      <c r="H22" s="68" t="n"/>
      <c r="I22" s="15" t="n"/>
      <c r="J22" s="56" t="n"/>
      <c r="K22" s="56" t="n"/>
      <c r="L22" s="57" t="n"/>
      <c r="M22" s="57" t="n"/>
      <c r="N22" s="58" t="n"/>
    </row>
    <row r="23" customFormat="1" s="12">
      <c r="A23" s="188" t="n"/>
      <c r="B23" s="189" t="n"/>
      <c r="C23" s="205" t="n"/>
      <c r="D23" s="189" t="n"/>
      <c r="E23" s="5" t="n"/>
      <c r="F23" s="197" t="n"/>
      <c r="G23" s="205" t="n"/>
      <c r="H23" s="244" t="n"/>
      <c r="I23" s="14" t="n"/>
      <c r="J23" s="14" t="n"/>
      <c r="K23" s="14" t="n"/>
      <c r="L23" s="15" t="n"/>
      <c r="M23" s="14" t="n"/>
      <c r="N23" s="38" t="n"/>
      <c r="Q23" s="13" t="n"/>
      <c r="R23" s="13" t="n"/>
    </row>
    <row r="24" customFormat="1" s="12">
      <c r="A24" s="188" t="n"/>
      <c r="B24" s="189" t="n"/>
      <c r="C24" s="197" t="n"/>
      <c r="D24" s="189" t="n"/>
      <c r="E24" s="5" t="n"/>
      <c r="F24" s="197" t="n"/>
      <c r="G24" s="205" t="n"/>
      <c r="H24" s="244" t="n"/>
      <c r="I24" s="14" t="n"/>
      <c r="J24" s="14" t="n"/>
      <c r="K24" s="14" t="n"/>
      <c r="L24" s="205" t="n"/>
      <c r="M24" s="14" t="n"/>
      <c r="N24" s="38" t="n"/>
      <c r="Q24" s="13" t="n"/>
      <c r="R24" s="13" t="n"/>
    </row>
    <row r="25" ht="17.75" customFormat="1" customHeight="1" s="12">
      <c r="A25" s="188" t="n"/>
      <c r="B25" s="189" t="n"/>
      <c r="C25" s="197" t="n"/>
      <c r="D25" s="189" t="n"/>
      <c r="E25" s="5" t="n"/>
      <c r="F25" s="197" t="n"/>
      <c r="G25" s="205" t="n"/>
      <c r="H25" s="244" t="n"/>
      <c r="I25" s="14" t="n"/>
      <c r="J25" s="14" t="n"/>
      <c r="K25" s="14" t="n"/>
      <c r="L25" s="205" t="n"/>
      <c r="M25" s="14" t="n"/>
      <c r="N25" s="38" t="n"/>
      <c r="Q25" s="7" t="n"/>
      <c r="R25" s="48" t="n"/>
    </row>
    <row r="26">
      <c r="A26" s="188" t="n"/>
      <c r="B26" s="189" t="n"/>
      <c r="C26" s="197" t="n"/>
      <c r="D26" s="189" t="n"/>
      <c r="E26" s="5" t="n"/>
      <c r="F26" s="55" t="n"/>
      <c r="G26" s="53" t="n"/>
      <c r="H26" s="68" t="n"/>
      <c r="I26" s="15" t="n"/>
      <c r="J26" s="56" t="n"/>
      <c r="K26" s="56" t="n"/>
      <c r="L26" s="57" t="n"/>
      <c r="M26" s="57" t="n"/>
      <c r="N26" s="58" t="n"/>
      <c r="O26" s="7" t="n"/>
      <c r="P26" s="2" t="n"/>
    </row>
    <row r="27" customFormat="1" s="73">
      <c r="A27" s="188" t="n"/>
      <c r="B27" s="189" t="n"/>
      <c r="C27" s="197" t="n"/>
      <c r="D27" s="189" t="n"/>
      <c r="E27" s="5" t="n"/>
      <c r="F27" s="6" t="n"/>
      <c r="G27" s="205" t="n"/>
      <c r="H27" s="144" t="n"/>
      <c r="I27" s="143" t="n"/>
      <c r="J27" s="143" t="n"/>
      <c r="K27" s="143" t="n"/>
      <c r="L27" s="15" t="n"/>
      <c r="M27" s="143" t="n"/>
      <c r="N27" s="146" t="n"/>
    </row>
    <row r="28">
      <c r="A28" s="188" t="n"/>
      <c r="B28" s="189" t="n"/>
      <c r="C28" s="197" t="n"/>
      <c r="D28" s="189" t="n"/>
      <c r="E28" s="5" t="n"/>
      <c r="F28" s="205" t="n"/>
      <c r="G28" s="205" t="n"/>
      <c r="H28" s="244" t="n"/>
      <c r="I28" s="14" t="n"/>
      <c r="J28" s="14" t="n"/>
      <c r="K28" s="14" t="n"/>
      <c r="L28" s="15" t="n"/>
      <c r="M28" s="14" t="n"/>
      <c r="N28" s="38" t="n"/>
    </row>
    <row r="29">
      <c r="A29" s="234" t="n"/>
      <c r="B29" s="191" t="n"/>
      <c r="C29" s="197" t="n"/>
      <c r="D29" s="189" t="n"/>
      <c r="E29" s="5" t="n"/>
      <c r="F29" s="205" t="n"/>
      <c r="G29" s="205" t="n"/>
      <c r="H29" s="244" t="n"/>
      <c r="I29" s="14" t="n"/>
      <c r="J29" s="14" t="n"/>
      <c r="K29" s="14" t="n"/>
      <c r="L29" s="15" t="n"/>
      <c r="M29" s="14" t="n"/>
      <c r="N29" s="38" t="n"/>
    </row>
    <row r="30">
      <c r="A30" s="234" t="n"/>
      <c r="B30" s="191" t="n"/>
      <c r="C30" s="205" t="n"/>
      <c r="D30" s="189" t="n"/>
      <c r="E30" s="5" t="n"/>
      <c r="F30" s="205" t="n"/>
      <c r="G30" s="205" t="n"/>
      <c r="H30" s="244" t="n"/>
      <c r="I30" s="14" t="n"/>
      <c r="J30" s="14" t="n"/>
      <c r="K30" s="14" t="n"/>
      <c r="L30" s="15" t="n"/>
      <c r="M30" s="14" t="n"/>
      <c r="N30" s="38" t="n"/>
    </row>
    <row r="31">
      <c r="A31" s="188" t="n"/>
      <c r="B31" s="189" t="n"/>
      <c r="C31" s="198" t="n"/>
      <c r="D31" s="189" t="n"/>
      <c r="E31" s="5" t="n"/>
      <c r="F31" s="205" t="n"/>
      <c r="G31" s="205" t="n"/>
      <c r="H31" s="244" t="n"/>
      <c r="I31" s="14" t="n"/>
      <c r="J31" s="14" t="n"/>
      <c r="K31" s="14" t="n"/>
      <c r="L31" s="15" t="n"/>
      <c r="M31" s="14" t="n"/>
      <c r="N31" s="38" t="n"/>
    </row>
    <row r="32">
      <c r="A32" s="188" t="n"/>
      <c r="B32" s="189" t="n"/>
      <c r="C32" s="198" t="n"/>
      <c r="D32" s="189" t="n"/>
      <c r="E32" s="5" t="n"/>
      <c r="F32" s="205" t="n"/>
      <c r="G32" s="205" t="n"/>
      <c r="H32" s="244" t="n"/>
      <c r="I32" s="14" t="n"/>
      <c r="J32" s="14" t="n"/>
      <c r="K32" s="14" t="n"/>
      <c r="L32" s="15" t="n"/>
      <c r="M32" s="14" t="n"/>
      <c r="N32" s="38" t="n"/>
    </row>
    <row r="33">
      <c r="A33" s="192" t="n"/>
      <c r="B33" s="189" t="n"/>
      <c r="C33" s="196" t="n"/>
      <c r="D33" s="189" t="n"/>
      <c r="E33" s="123" t="n"/>
      <c r="F33" s="205" t="n"/>
      <c r="G33" s="205" t="n"/>
      <c r="H33" s="244" t="n"/>
      <c r="I33" s="14" t="n"/>
      <c r="J33" s="14" t="n"/>
      <c r="K33" s="14" t="n"/>
      <c r="L33" s="15" t="n"/>
      <c r="M33" s="14" t="n"/>
      <c r="N33" s="38" t="n"/>
    </row>
    <row r="34">
      <c r="A34" s="192" t="n"/>
      <c r="B34" s="189" t="n"/>
      <c r="C34" s="198" t="n"/>
      <c r="D34" s="189" t="n"/>
      <c r="E34" s="123" t="n"/>
      <c r="F34" s="205" t="n"/>
      <c r="G34" s="205" t="n"/>
      <c r="H34" s="244" t="n"/>
      <c r="I34" s="14" t="n"/>
      <c r="J34" s="14" t="n"/>
      <c r="K34" s="14" t="n"/>
      <c r="L34" s="15" t="n"/>
      <c r="M34" s="14" t="n"/>
      <c r="N34" s="38" t="n"/>
    </row>
    <row r="35">
      <c r="A35" s="192" t="n"/>
      <c r="B35" s="189" t="n"/>
      <c r="C35" s="198" t="n"/>
      <c r="D35" s="189" t="n"/>
      <c r="E35" s="123" t="n"/>
      <c r="F35" s="205" t="n"/>
      <c r="G35" s="205" t="n"/>
      <c r="H35" s="244" t="n"/>
      <c r="I35" s="14" t="n"/>
      <c r="J35" s="14" t="n"/>
      <c r="K35" s="14" t="n"/>
      <c r="L35" s="15" t="n"/>
      <c r="M35" s="14" t="n"/>
      <c r="N35" s="38" t="n"/>
    </row>
    <row r="36">
      <c r="A36" s="192" t="n"/>
      <c r="B36" s="189" t="n"/>
      <c r="C36" s="198" t="n"/>
      <c r="D36" s="189" t="n"/>
      <c r="E36" s="123" t="n"/>
      <c r="F36" s="205" t="n"/>
      <c r="G36" s="205" t="n"/>
      <c r="H36" s="244" t="n"/>
      <c r="I36" s="14" t="n"/>
      <c r="J36" s="14" t="n"/>
      <c r="K36" s="14" t="n"/>
      <c r="L36" s="15" t="n"/>
      <c r="M36" s="14" t="n"/>
      <c r="N36" s="38" t="n"/>
    </row>
    <row r="37">
      <c r="A37" s="188" t="n"/>
      <c r="B37" s="189" t="n"/>
      <c r="C37" s="197" t="n"/>
      <c r="D37" s="189" t="n"/>
      <c r="E37" s="5" t="n"/>
      <c r="F37" s="205" t="n"/>
      <c r="G37" s="205" t="n"/>
      <c r="H37" s="244" t="n"/>
      <c r="I37" s="14" t="n"/>
      <c r="J37" s="14" t="n"/>
      <c r="K37" s="14" t="n"/>
      <c r="L37" s="15" t="n"/>
      <c r="M37" s="14" t="n"/>
      <c r="N37" s="38" t="n"/>
    </row>
    <row r="38">
      <c r="A38" s="188" t="n"/>
      <c r="B38" s="189" t="n"/>
      <c r="C38" s="197" t="n"/>
      <c r="D38" s="189" t="n"/>
      <c r="E38" s="5" t="n"/>
      <c r="F38" s="205" t="n"/>
      <c r="G38" s="205" t="n"/>
      <c r="H38" s="244" t="n"/>
      <c r="I38" s="14" t="n"/>
      <c r="J38" s="14" t="n"/>
      <c r="K38" s="14" t="n"/>
      <c r="L38" s="15" t="n"/>
      <c r="M38" s="14" t="n"/>
      <c r="N38" s="38" t="n"/>
    </row>
    <row r="39">
      <c r="A39" s="188" t="n"/>
      <c r="B39" s="189" t="n"/>
      <c r="C39" s="197" t="n"/>
      <c r="D39" s="189" t="n"/>
      <c r="E39" s="5" t="n"/>
      <c r="F39" s="205" t="n"/>
      <c r="G39" s="205" t="n"/>
      <c r="H39" s="244" t="n"/>
      <c r="I39" s="14" t="n"/>
      <c r="J39" s="14" t="n"/>
      <c r="K39" s="14" t="n"/>
      <c r="L39" s="15" t="n"/>
      <c r="M39" s="14" t="n"/>
      <c r="N39" s="38" t="n"/>
    </row>
    <row r="40">
      <c r="A40" s="188" t="n"/>
      <c r="B40" s="189" t="n"/>
      <c r="C40" s="197" t="n"/>
      <c r="D40" s="189" t="n"/>
      <c r="E40" s="5" t="n"/>
      <c r="F40" s="55" t="n"/>
      <c r="G40" s="53" t="n"/>
      <c r="H40" s="244" t="n"/>
      <c r="I40" s="14" t="n"/>
      <c r="J40" s="14" t="n"/>
      <c r="K40" s="14" t="n"/>
      <c r="L40" s="15" t="n"/>
      <c r="M40" s="14" t="n"/>
      <c r="N40" s="38" t="n"/>
    </row>
    <row r="41">
      <c r="A41" s="188" t="n"/>
      <c r="B41" s="189" t="n"/>
      <c r="C41" s="205" t="n"/>
      <c r="D41" s="189" t="n"/>
      <c r="E41" s="5" t="n"/>
      <c r="F41" s="205" t="n"/>
      <c r="G41" s="205" t="n"/>
      <c r="H41" s="244" t="n"/>
      <c r="I41" s="14" t="n"/>
      <c r="J41" s="14" t="n"/>
      <c r="K41" s="14" t="n"/>
      <c r="L41" s="15" t="n"/>
      <c r="M41" s="14" t="n"/>
      <c r="N41" s="38" t="n"/>
    </row>
    <row r="42">
      <c r="A42" s="188" t="n"/>
      <c r="B42" s="189" t="n"/>
      <c r="C42" s="197" t="n"/>
      <c r="D42" s="189" t="n"/>
      <c r="E42" s="5" t="n"/>
      <c r="F42" s="205" t="n"/>
      <c r="G42" s="205" t="n"/>
      <c r="H42" s="244" t="n"/>
      <c r="I42" s="14" t="n"/>
      <c r="J42" s="14" t="n"/>
      <c r="K42" s="14" t="n"/>
      <c r="L42" s="15" t="n"/>
      <c r="M42" s="14" t="n"/>
      <c r="N42" s="38" t="n"/>
    </row>
    <row r="43">
      <c r="A43" s="188" t="n"/>
      <c r="B43" s="189" t="n"/>
      <c r="C43" s="205" t="n"/>
      <c r="D43" s="189" t="n"/>
      <c r="E43" s="5" t="n"/>
      <c r="F43" s="205" t="n"/>
      <c r="G43" s="205" t="n"/>
      <c r="H43" s="244" t="n"/>
      <c r="I43" s="14" t="n"/>
      <c r="J43" s="14" t="n"/>
      <c r="K43" s="14" t="n"/>
      <c r="L43" s="15" t="n"/>
      <c r="M43" s="14" t="n"/>
      <c r="N43" s="38" t="n"/>
    </row>
    <row r="44">
      <c r="A44" s="236" t="n"/>
      <c r="B44" s="237" t="n"/>
      <c r="C44" s="205" t="n"/>
      <c r="D44" s="189" t="n"/>
      <c r="E44" s="197" t="n"/>
      <c r="F44" s="205" t="n"/>
      <c r="G44" s="205" t="n"/>
      <c r="H44" s="244" t="n"/>
      <c r="I44" s="14" t="n"/>
      <c r="J44" s="14" t="n"/>
      <c r="K44" s="14" t="n"/>
      <c r="L44" s="15" t="n"/>
      <c r="M44" s="14" t="n"/>
      <c r="N44" s="38" t="n"/>
    </row>
    <row r="45">
      <c r="A45" s="188" t="n"/>
      <c r="B45" s="189" t="n"/>
      <c r="C45" s="205" t="n"/>
      <c r="D45" s="189" t="n"/>
      <c r="E45" s="5" t="n"/>
      <c r="F45" s="205" t="n"/>
      <c r="G45" s="205" t="n"/>
      <c r="H45" s="244" t="n"/>
      <c r="I45" s="14" t="n"/>
      <c r="J45" s="14" t="n"/>
      <c r="K45" s="14" t="n"/>
      <c r="L45" s="15" t="n"/>
      <c r="M45" s="14" t="n"/>
      <c r="N45" s="38" t="n"/>
    </row>
    <row r="46">
      <c r="A46" s="188" t="n"/>
      <c r="B46" s="189" t="n"/>
      <c r="C46" s="197" t="n"/>
      <c r="D46" s="189" t="n"/>
      <c r="E46" s="5" t="n"/>
      <c r="F46" s="205" t="n"/>
      <c r="G46" s="205" t="n"/>
      <c r="H46" s="244" t="n"/>
      <c r="I46" s="14" t="n"/>
      <c r="J46" s="14" t="n"/>
      <c r="K46" s="14" t="n"/>
      <c r="L46" s="15" t="n"/>
      <c r="M46" s="14" t="n"/>
      <c r="N46" s="38" t="n"/>
    </row>
    <row r="47">
      <c r="A47" s="188" t="n"/>
      <c r="B47" s="189" t="n"/>
      <c r="C47" s="197" t="n"/>
      <c r="D47" s="189" t="n"/>
      <c r="E47" s="5" t="n"/>
      <c r="F47" s="205" t="n"/>
      <c r="G47" s="205" t="n"/>
      <c r="H47" s="244" t="n"/>
      <c r="I47" s="14" t="n"/>
      <c r="J47" s="14" t="n"/>
      <c r="K47" s="14" t="n"/>
      <c r="L47" s="15" t="n"/>
      <c r="M47" s="14" t="n"/>
      <c r="N47" s="38" t="n"/>
    </row>
    <row r="48">
      <c r="A48" s="234" t="n"/>
      <c r="B48" s="191" t="n"/>
      <c r="C48" s="197" t="n"/>
      <c r="D48" s="189" t="n"/>
      <c r="E48" s="5" t="n"/>
      <c r="F48" s="205" t="n"/>
      <c r="G48" s="205" t="n"/>
      <c r="H48" s="244" t="n"/>
      <c r="I48" s="14" t="n"/>
      <c r="J48" s="14" t="n"/>
      <c r="K48" s="14" t="n"/>
      <c r="L48" s="15" t="n"/>
      <c r="M48" s="14" t="n"/>
      <c r="N48" s="38" t="n"/>
    </row>
    <row r="49">
      <c r="A49" s="234" t="n"/>
      <c r="B49" s="191" t="n"/>
      <c r="C49" s="197" t="n"/>
      <c r="D49" s="189" t="n"/>
      <c r="E49" s="5" t="n"/>
      <c r="F49" s="205" t="n"/>
      <c r="G49" s="205" t="n"/>
      <c r="H49" s="244" t="n"/>
      <c r="I49" s="14" t="n"/>
      <c r="J49" s="14" t="n"/>
      <c r="K49" s="14" t="n"/>
      <c r="L49" s="15" t="n"/>
      <c r="M49" s="14" t="n"/>
      <c r="N49" s="38" t="n"/>
    </row>
    <row r="50">
      <c r="A50" s="234" t="n"/>
      <c r="B50" s="191" t="n"/>
      <c r="C50" s="197" t="n"/>
      <c r="D50" s="189" t="n"/>
      <c r="E50" s="5" t="n"/>
      <c r="F50" s="205" t="n"/>
      <c r="G50" s="205" t="n"/>
      <c r="H50" s="244" t="n"/>
      <c r="I50" s="14" t="n"/>
      <c r="J50" s="14" t="n"/>
      <c r="K50" s="14" t="n"/>
      <c r="L50" s="15" t="n"/>
      <c r="M50" s="14" t="n"/>
      <c r="N50" s="38" t="n"/>
    </row>
    <row r="51">
      <c r="A51" s="234" t="n"/>
      <c r="B51" s="191" t="n"/>
      <c r="C51" s="197" t="n"/>
      <c r="D51" s="189" t="n"/>
      <c r="E51" s="5" t="n"/>
      <c r="F51" s="205" t="n"/>
      <c r="G51" s="205" t="n"/>
      <c r="H51" s="244" t="n"/>
      <c r="I51" s="14" t="n"/>
      <c r="J51" s="14" t="n"/>
      <c r="K51" s="14" t="n"/>
      <c r="L51" s="15" t="n"/>
      <c r="M51" s="14" t="n"/>
      <c r="N51" s="38" t="n"/>
    </row>
    <row r="52">
      <c r="A52" s="234" t="n"/>
      <c r="B52" s="191" t="n"/>
      <c r="C52" s="197" t="n"/>
      <c r="D52" s="189" t="n"/>
      <c r="E52" s="5" t="n"/>
      <c r="F52" s="205" t="n"/>
      <c r="G52" s="205" t="n"/>
      <c r="H52" s="244" t="n"/>
      <c r="I52" s="14" t="n"/>
      <c r="J52" s="14" t="n"/>
      <c r="K52" s="14" t="n"/>
      <c r="L52" s="15" t="n"/>
      <c r="M52" s="14" t="n"/>
      <c r="N52" s="38" t="n"/>
    </row>
    <row r="53">
      <c r="A53" s="234" t="n"/>
      <c r="B53" s="191" t="n"/>
      <c r="C53" s="197" t="n"/>
      <c r="D53" s="189" t="n"/>
      <c r="E53" s="5" t="n"/>
      <c r="F53" s="205" t="n"/>
      <c r="G53" s="205" t="n"/>
      <c r="H53" s="244" t="n"/>
      <c r="I53" s="14" t="n"/>
      <c r="J53" s="14" t="n"/>
      <c r="K53" s="14" t="n"/>
      <c r="L53" s="15" t="n"/>
      <c r="M53" s="14" t="n"/>
      <c r="N53" s="38" t="n"/>
    </row>
    <row r="54">
      <c r="A54" s="234" t="n"/>
      <c r="B54" s="191" t="n"/>
      <c r="C54" s="205" t="n"/>
      <c r="D54" s="189" t="n"/>
      <c r="E54" s="5" t="n"/>
      <c r="F54" s="205" t="n"/>
      <c r="G54" s="205" t="n"/>
      <c r="H54" s="244" t="n"/>
      <c r="I54" s="14" t="n"/>
      <c r="J54" s="14" t="n"/>
      <c r="K54" s="14" t="n"/>
      <c r="L54" s="15" t="n"/>
      <c r="M54" s="14" t="n"/>
      <c r="N54" s="38" t="n"/>
    </row>
    <row r="55">
      <c r="A55" s="234" t="n"/>
      <c r="B55" s="191" t="n"/>
      <c r="C55" s="197" t="n"/>
      <c r="D55" s="189" t="n"/>
      <c r="E55" s="5" t="n"/>
      <c r="F55" s="205" t="n"/>
      <c r="G55" s="205" t="n"/>
      <c r="H55" s="244" t="n"/>
      <c r="I55" s="14" t="n"/>
      <c r="J55" s="14" t="n"/>
      <c r="K55" s="14" t="n"/>
      <c r="L55" s="15" t="n"/>
      <c r="M55" s="14" t="n"/>
      <c r="N55" s="38" t="n"/>
    </row>
    <row r="56">
      <c r="A56" s="234" t="n"/>
      <c r="B56" s="191" t="n"/>
      <c r="C56" s="197" t="n"/>
      <c r="D56" s="189" t="n"/>
      <c r="E56" s="5" t="n"/>
      <c r="F56" s="205" t="n"/>
      <c r="G56" s="205" t="n"/>
      <c r="H56" s="244" t="n"/>
      <c r="I56" s="14" t="n"/>
      <c r="J56" s="14" t="n"/>
      <c r="K56" s="14" t="n"/>
      <c r="L56" s="15" t="n"/>
      <c r="M56" s="14" t="n"/>
      <c r="N56" s="38" t="n"/>
    </row>
    <row r="57">
      <c r="A57" s="234" t="n"/>
      <c r="B57" s="191" t="n"/>
      <c r="C57" s="205" t="n"/>
      <c r="D57" s="189" t="n"/>
      <c r="E57" s="5" t="n"/>
      <c r="F57" s="205" t="n"/>
      <c r="G57" s="205" t="n"/>
      <c r="H57" s="244" t="n"/>
      <c r="I57" s="14" t="n"/>
      <c r="J57" s="14" t="n"/>
      <c r="K57" s="14" t="n"/>
      <c r="L57" s="15" t="n"/>
      <c r="M57" s="14" t="n"/>
      <c r="N57" s="38" t="n"/>
    </row>
    <row r="58">
      <c r="A58" s="234" t="n"/>
      <c r="B58" s="191" t="n"/>
      <c r="C58" s="197" t="n"/>
      <c r="D58" s="189" t="n"/>
      <c r="E58" s="5" t="n"/>
      <c r="F58" s="205" t="n"/>
      <c r="G58" s="205" t="n"/>
      <c r="H58" s="244" t="n"/>
      <c r="I58" s="14" t="n"/>
      <c r="J58" s="14" t="n"/>
      <c r="K58" s="14" t="n"/>
      <c r="L58" s="15" t="n"/>
      <c r="M58" s="14" t="n"/>
      <c r="N58" s="38" t="n"/>
    </row>
    <row r="59">
      <c r="A59" s="234" t="n"/>
      <c r="B59" s="191" t="n"/>
      <c r="C59" s="205" t="n"/>
      <c r="D59" s="189" t="n"/>
      <c r="E59" s="5" t="n"/>
      <c r="F59" s="205" t="n"/>
      <c r="G59" s="205" t="n"/>
      <c r="H59" s="244" t="n"/>
      <c r="I59" s="14" t="n"/>
      <c r="J59" s="14" t="n"/>
      <c r="K59" s="14" t="n"/>
      <c r="L59" s="15" t="n"/>
      <c r="M59" s="14" t="n"/>
      <c r="N59" s="38" t="n"/>
    </row>
    <row r="60">
      <c r="A60" s="234" t="n"/>
      <c r="B60" s="191" t="n"/>
      <c r="C60" s="205" t="n"/>
      <c r="D60" s="189" t="n"/>
      <c r="E60" s="5" t="n"/>
      <c r="F60" s="205" t="n"/>
      <c r="G60" s="205" t="n"/>
      <c r="H60" s="244" t="n"/>
      <c r="I60" s="14" t="n"/>
      <c r="J60" s="14" t="n"/>
      <c r="K60" s="14" t="n"/>
      <c r="L60" s="15" t="n"/>
      <c r="M60" s="14" t="n"/>
      <c r="N60" s="38" t="n"/>
    </row>
    <row r="61">
      <c r="A61" s="234" t="n"/>
      <c r="B61" s="191" t="n"/>
      <c r="C61" s="205" t="n"/>
      <c r="D61" s="189" t="n"/>
      <c r="E61" s="5" t="n"/>
      <c r="F61" s="205" t="n"/>
      <c r="G61" s="205" t="n"/>
      <c r="H61" s="244" t="n"/>
      <c r="I61" s="14" t="n"/>
      <c r="J61" s="14" t="n"/>
      <c r="K61" s="14" t="n"/>
      <c r="L61" s="15" t="n"/>
      <c r="M61" s="14" t="n"/>
      <c r="N61" s="38" t="n"/>
    </row>
    <row r="62">
      <c r="A62" s="188" t="n"/>
      <c r="B62" s="189" t="n"/>
      <c r="C62" s="197" t="n"/>
      <c r="D62" s="189" t="n"/>
      <c r="E62" s="5" t="n"/>
      <c r="F62" s="205" t="n"/>
      <c r="G62" s="205" t="n"/>
      <c r="H62" s="244" t="n"/>
      <c r="I62" s="14" t="n"/>
      <c r="J62" s="14" t="n"/>
      <c r="K62" s="14" t="n"/>
      <c r="L62" s="15" t="n"/>
      <c r="M62" s="14" t="n"/>
      <c r="N62" s="38" t="n"/>
    </row>
    <row r="63">
      <c r="A63" s="188" t="n"/>
      <c r="B63" s="189" t="n"/>
      <c r="C63" s="197" t="n"/>
      <c r="D63" s="189" t="n"/>
      <c r="E63" s="5" t="n"/>
      <c r="F63" s="205" t="n"/>
      <c r="G63" s="205" t="n"/>
      <c r="H63" s="244" t="n"/>
      <c r="I63" s="14" t="n"/>
      <c r="J63" s="14" t="n"/>
      <c r="K63" s="14" t="n"/>
      <c r="L63" s="15" t="n"/>
      <c r="M63" s="14" t="n"/>
      <c r="N63" s="38" t="n"/>
    </row>
    <row r="64" ht="19.5" customHeight="1" s="180" thickBot="1">
      <c r="A64" s="236" t="n"/>
      <c r="B64" s="237" t="n"/>
      <c r="C64" s="205" t="n"/>
      <c r="D64" s="189" t="n"/>
      <c r="E64" s="197" t="n"/>
      <c r="F64" s="205" t="n"/>
      <c r="G64" s="205" t="n"/>
      <c r="H64" s="244" t="n"/>
      <c r="I64" s="14" t="n"/>
      <c r="J64" s="14" t="n"/>
      <c r="K64" s="14" t="n"/>
      <c r="L64" s="15" t="n"/>
      <c r="M64" s="14" t="n"/>
      <c r="N64" s="38" t="n"/>
    </row>
    <row r="65" ht="19.5" customHeight="1" s="180" thickBot="1">
      <c r="A65" s="241" t="inlineStr">
        <is>
          <t>合計</t>
        </is>
      </c>
      <c r="B65" s="242" t="n"/>
      <c r="C65" s="242" t="n"/>
      <c r="D65" s="242" t="n"/>
      <c r="E65" s="242" t="n"/>
      <c r="F65" s="194" t="n"/>
      <c r="G65" s="17">
        <f>SUM(G2:G64)</f>
        <v/>
      </c>
      <c r="H65" s="17">
        <f>SUM(H2:H64)</f>
        <v/>
      </c>
      <c r="I65" s="17">
        <f>SUM(I2:I64)</f>
        <v/>
      </c>
      <c r="J65" s="17">
        <f>SUM(J2:J64)</f>
        <v/>
      </c>
      <c r="K65" s="17">
        <f>SUM(K2:K64)</f>
        <v/>
      </c>
      <c r="L65" s="17">
        <f>SUM(L2:L64)</f>
        <v/>
      </c>
      <c r="M65" s="17">
        <f>SUM(M2:M64)</f>
        <v/>
      </c>
      <c r="N65" s="17">
        <f>SUM(N20:N64)</f>
        <v/>
      </c>
    </row>
  </sheetData>
  <autoFilter ref="A1:N41">
    <filterColumn colId="0" hiddenButton="0" showButton="0"/>
    <filterColumn colId="2" hiddenButton="0" showButton="0"/>
  </autoFilter>
  <mergeCells count="129">
    <mergeCell ref="C6:D6"/>
    <mergeCell ref="C62:D62"/>
    <mergeCell ref="A15:B15"/>
    <mergeCell ref="A64:B64"/>
    <mergeCell ref="C15:D15"/>
    <mergeCell ref="A51:B51"/>
    <mergeCell ref="C64:D64"/>
    <mergeCell ref="A54:B54"/>
    <mergeCell ref="A7:B7"/>
    <mergeCell ref="C54:D54"/>
    <mergeCell ref="C1:D1"/>
    <mergeCell ref="A41:B41"/>
    <mergeCell ref="C63:D63"/>
    <mergeCell ref="C41:D41"/>
    <mergeCell ref="C50:D50"/>
    <mergeCell ref="A56:B56"/>
    <mergeCell ref="A27:B27"/>
    <mergeCell ref="C56:D56"/>
    <mergeCell ref="C43:D43"/>
    <mergeCell ref="A33:B33"/>
    <mergeCell ref="C27:D27"/>
    <mergeCell ref="A42:B42"/>
    <mergeCell ref="C36:D36"/>
    <mergeCell ref="A17:B17"/>
    <mergeCell ref="C17:D17"/>
    <mergeCell ref="A22:B22"/>
    <mergeCell ref="A53:B53"/>
    <mergeCell ref="A35:B35"/>
    <mergeCell ref="A62:B62"/>
    <mergeCell ref="A19:B19"/>
    <mergeCell ref="C19:D19"/>
    <mergeCell ref="A28:B28"/>
    <mergeCell ref="C28:D28"/>
    <mergeCell ref="A9:B9"/>
    <mergeCell ref="C3:D3"/>
    <mergeCell ref="A39:B39"/>
    <mergeCell ref="A48:B48"/>
    <mergeCell ref="A30:B30"/>
    <mergeCell ref="C30:D30"/>
    <mergeCell ref="A59:B59"/>
    <mergeCell ref="A11:B11"/>
    <mergeCell ref="C5:D5"/>
    <mergeCell ref="A45:B45"/>
    <mergeCell ref="C45:D45"/>
    <mergeCell ref="C14:D14"/>
    <mergeCell ref="A61:B61"/>
    <mergeCell ref="C4:D4"/>
    <mergeCell ref="C47:D47"/>
    <mergeCell ref="A37:B37"/>
    <mergeCell ref="A46:B46"/>
    <mergeCell ref="C40:D40"/>
    <mergeCell ref="A26:B26"/>
    <mergeCell ref="C60:D60"/>
    <mergeCell ref="A8:B8"/>
    <mergeCell ref="C8:D8"/>
    <mergeCell ref="A52:B52"/>
    <mergeCell ref="A63:B63"/>
    <mergeCell ref="A10:B10"/>
    <mergeCell ref="C57:D57"/>
    <mergeCell ref="C18:D18"/>
    <mergeCell ref="C53:D53"/>
    <mergeCell ref="A34:B34"/>
    <mergeCell ref="C34:D34"/>
    <mergeCell ref="A49:B49"/>
    <mergeCell ref="C58:D58"/>
    <mergeCell ref="A36:B36"/>
    <mergeCell ref="A1:B1"/>
    <mergeCell ref="C20:D20"/>
    <mergeCell ref="C29:D29"/>
    <mergeCell ref="C44:D44"/>
    <mergeCell ref="C22:D22"/>
    <mergeCell ref="C31:D31"/>
    <mergeCell ref="A3:B3"/>
    <mergeCell ref="A55:B55"/>
    <mergeCell ref="A12:B12"/>
    <mergeCell ref="C59:D59"/>
    <mergeCell ref="C12:D12"/>
    <mergeCell ref="A21:B21"/>
    <mergeCell ref="C46:D46"/>
    <mergeCell ref="C21:D21"/>
    <mergeCell ref="A57:B57"/>
    <mergeCell ref="C51:D51"/>
    <mergeCell ref="A5:B5"/>
    <mergeCell ref="A32:B32"/>
    <mergeCell ref="A14:B14"/>
    <mergeCell ref="C61:D61"/>
    <mergeCell ref="A23:B23"/>
    <mergeCell ref="C48:D48"/>
    <mergeCell ref="C23:D23"/>
    <mergeCell ref="A4:B4"/>
    <mergeCell ref="A38:B38"/>
    <mergeCell ref="C32:D32"/>
    <mergeCell ref="C7:D7"/>
    <mergeCell ref="C38:D38"/>
    <mergeCell ref="A43:B43"/>
    <mergeCell ref="A40:B40"/>
    <mergeCell ref="A65:F65"/>
    <mergeCell ref="C49:D49"/>
    <mergeCell ref="A24:B24"/>
    <mergeCell ref="C24:D24"/>
    <mergeCell ref="A60:B60"/>
    <mergeCell ref="C33:D33"/>
    <mergeCell ref="C42:D42"/>
    <mergeCell ref="C26:D26"/>
    <mergeCell ref="A6:B6"/>
    <mergeCell ref="C35:D35"/>
    <mergeCell ref="A16:B16"/>
    <mergeCell ref="C10:D10"/>
    <mergeCell ref="C16:D16"/>
    <mergeCell ref="A25:B25"/>
    <mergeCell ref="C25:D25"/>
    <mergeCell ref="C55:D55"/>
    <mergeCell ref="C9:D9"/>
    <mergeCell ref="A18:B18"/>
    <mergeCell ref="A50:B50"/>
    <mergeCell ref="A2:B2"/>
    <mergeCell ref="C2:D2"/>
    <mergeCell ref="C11:D11"/>
    <mergeCell ref="A47:B47"/>
    <mergeCell ref="C52:D52"/>
    <mergeCell ref="C39:D39"/>
    <mergeCell ref="A20:B20"/>
    <mergeCell ref="A29:B29"/>
    <mergeCell ref="C37:D37"/>
    <mergeCell ref="A13:B13"/>
    <mergeCell ref="A44:B44"/>
    <mergeCell ref="C13:D13"/>
    <mergeCell ref="A31:B31"/>
    <mergeCell ref="A58:B58"/>
  </mergeCells>
  <pageMargins left="0.25" right="0.25" top="0.75" bottom="0.75" header="0.3" footer="0.3"/>
  <pageSetup orientation="landscape" paperSize="9" scale="73" horizontalDpi="0" verticalDpi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V29"/>
  <sheetViews>
    <sheetView zoomScale="80" zoomScaleNormal="80" workbookViewId="0">
      <selection activeCell="A2" sqref="A2:N4"/>
    </sheetView>
  </sheetViews>
  <sheetFormatPr baseColWidth="10" defaultColWidth="8.6640625" defaultRowHeight="18"/>
  <cols>
    <col width="9.6640625" customWidth="1" style="23" min="1" max="1"/>
    <col width="6.5" customWidth="1" style="23" min="2" max="2"/>
    <col width="8.1640625" customWidth="1" style="23" min="3" max="3"/>
    <col width="10.1640625" customWidth="1" style="23" min="4" max="5"/>
    <col width="12.5" customWidth="1" style="23" min="6" max="6"/>
    <col width="12.6640625" customWidth="1" style="23" min="7" max="7"/>
    <col width="13" customWidth="1" style="23" min="8" max="8"/>
    <col width="12.5" customWidth="1" style="23" min="9" max="9"/>
    <col width="12.33203125" customWidth="1" style="23" min="10" max="10"/>
    <col width="11.83203125" customWidth="1" style="23" min="11" max="12"/>
    <col width="12.5" customWidth="1" style="23" min="13" max="15"/>
    <col width="8.6640625" customWidth="1" style="23" min="16" max="17"/>
    <col width="8.6640625" customWidth="1" style="23" min="18" max="16384"/>
  </cols>
  <sheetData>
    <row r="1" ht="18.75" customHeight="1" s="180" thickBot="1">
      <c r="A1" s="245" t="inlineStr">
        <is>
          <t>日付</t>
        </is>
      </c>
      <c r="B1" s="239" t="n"/>
      <c r="C1" s="246" t="inlineStr">
        <is>
          <t>お客様</t>
        </is>
      </c>
      <c r="D1" s="239" t="n"/>
      <c r="E1" s="43" t="inlineStr">
        <is>
          <t>担当</t>
        </is>
      </c>
      <c r="F1" s="43" t="inlineStr">
        <is>
          <t>備考</t>
        </is>
      </c>
      <c r="G1" s="246" t="inlineStr">
        <is>
          <t>売上</t>
        </is>
      </c>
      <c r="H1" s="19" t="inlineStr">
        <is>
          <t>体験</t>
        </is>
      </c>
      <c r="I1" s="20" t="inlineStr">
        <is>
          <t>前金</t>
        </is>
      </c>
      <c r="J1" s="20" t="inlineStr">
        <is>
          <t>ハーブ</t>
        </is>
      </c>
      <c r="K1" s="20" t="inlineStr">
        <is>
          <t>都度</t>
        </is>
      </c>
      <c r="L1" s="20" t="inlineStr">
        <is>
          <t>回数券</t>
        </is>
      </c>
      <c r="M1" s="19" t="inlineStr">
        <is>
          <t>OP</t>
        </is>
      </c>
      <c r="N1" s="44" t="inlineStr">
        <is>
          <t>物販</t>
        </is>
      </c>
      <c r="O1" s="21" t="n"/>
      <c r="P1" s="21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</row>
    <row r="2" ht="17.75" customFormat="1" customHeight="1" s="21">
      <c r="A2" s="188" t="n"/>
      <c r="B2" s="189" t="n"/>
      <c r="C2" s="205" t="n"/>
      <c r="D2" s="189" t="n"/>
      <c r="E2" s="5" t="n"/>
      <c r="F2" s="120" t="n"/>
      <c r="G2" s="28" t="n"/>
      <c r="H2" s="28" t="n"/>
      <c r="I2" s="25" t="n"/>
      <c r="J2" s="25" t="n"/>
      <c r="K2" s="25" t="n"/>
      <c r="L2" s="26" t="n"/>
      <c r="M2" s="25" t="n"/>
      <c r="N2" s="45" t="n"/>
      <c r="Q2" s="22" t="n"/>
      <c r="R2" s="22" t="n"/>
      <c r="S2" s="22" t="n"/>
    </row>
    <row r="3" ht="17.75" customFormat="1" customHeight="1" s="21">
      <c r="A3" s="188" t="n"/>
      <c r="B3" s="189" t="n"/>
      <c r="C3" s="197" t="n"/>
      <c r="D3" s="189" t="n"/>
      <c r="E3" s="5" t="n"/>
      <c r="F3" s="120" t="n"/>
      <c r="G3" s="67" t="n"/>
      <c r="H3" s="67" t="n"/>
      <c r="I3" s="25" t="n"/>
      <c r="J3" s="25" t="n"/>
      <c r="K3" s="25" t="n"/>
      <c r="L3" s="26" t="n"/>
      <c r="M3" s="25" t="n"/>
      <c r="N3" s="45" t="n"/>
      <c r="Q3" s="22" t="n"/>
      <c r="R3" s="22" t="n"/>
      <c r="S3" s="22" t="n"/>
    </row>
    <row r="4" ht="17.75" customFormat="1" customHeight="1" s="21">
      <c r="A4" s="188" t="n"/>
      <c r="B4" s="189" t="n"/>
      <c r="C4" s="196" t="n"/>
      <c r="D4" s="189" t="n"/>
      <c r="E4" s="161" t="n"/>
      <c r="F4" s="120" t="n"/>
      <c r="G4" s="27" t="n"/>
      <c r="H4" s="24" t="n"/>
      <c r="I4" s="25" t="n"/>
      <c r="J4" s="25" t="n"/>
      <c r="K4" s="25" t="n"/>
      <c r="L4" s="26" t="n"/>
      <c r="M4" s="25" t="n"/>
      <c r="N4" s="45" t="n"/>
      <c r="Q4" s="22" t="n"/>
      <c r="R4" s="22" t="n"/>
      <c r="S4" s="22" t="n"/>
    </row>
    <row r="5" ht="17.75" customFormat="1" customHeight="1" s="21">
      <c r="A5" s="188" t="n"/>
      <c r="B5" s="189" t="n"/>
      <c r="C5" s="197" t="n"/>
      <c r="D5" s="189" t="n"/>
      <c r="E5" s="5" t="n"/>
      <c r="F5" s="120" t="n"/>
      <c r="G5" s="27" t="n"/>
      <c r="H5" s="24" t="n"/>
      <c r="I5" s="25" t="n"/>
      <c r="J5" s="25" t="n"/>
      <c r="K5" s="25" t="n"/>
      <c r="L5" s="26" t="n"/>
      <c r="M5" s="25" t="n"/>
      <c r="N5" s="45" t="n"/>
      <c r="Q5" s="22" t="n"/>
      <c r="R5" s="22" t="n"/>
      <c r="S5" s="22" t="n"/>
    </row>
    <row r="6" ht="17.75" customFormat="1" customHeight="1" s="54">
      <c r="A6" s="188" t="n"/>
      <c r="B6" s="189" t="n"/>
      <c r="C6" s="197" t="n"/>
      <c r="D6" s="189" t="n"/>
      <c r="E6" s="5" t="n"/>
      <c r="F6" s="120" t="n"/>
      <c r="G6" s="28" t="n"/>
      <c r="H6" s="24" t="n"/>
      <c r="I6" s="25" t="n"/>
      <c r="J6" s="25" t="n"/>
      <c r="K6" s="25" t="n"/>
      <c r="L6" s="26" t="n"/>
      <c r="M6" s="25" t="n"/>
      <c r="N6" s="45" t="n"/>
      <c r="P6" s="21" t="n"/>
      <c r="Q6" s="22" t="n"/>
      <c r="R6" s="22" t="n"/>
      <c r="S6" s="22" t="n"/>
    </row>
    <row r="7" ht="17.75" customFormat="1" customHeight="1" s="21">
      <c r="A7" s="234" t="n"/>
      <c r="B7" s="191" t="n"/>
      <c r="C7" s="205" t="n"/>
      <c r="D7" s="189" t="n"/>
      <c r="E7" s="5" t="n"/>
      <c r="F7" s="120" t="n"/>
      <c r="G7" s="28" t="n"/>
      <c r="H7" s="24" t="n"/>
      <c r="I7" s="25" t="n"/>
      <c r="J7" s="25" t="n"/>
      <c r="K7" s="25" t="n"/>
      <c r="L7" s="26" t="n"/>
      <c r="M7" s="25" t="n"/>
      <c r="N7" s="45" t="n"/>
      <c r="Q7" s="22" t="n"/>
      <c r="R7" s="22" t="n"/>
      <c r="S7" s="22" t="n"/>
    </row>
    <row r="8" ht="17.75" customFormat="1" customHeight="1" s="21">
      <c r="A8" s="234" t="n"/>
      <c r="B8" s="191" t="n"/>
      <c r="C8" s="205" t="n"/>
      <c r="D8" s="189" t="n"/>
      <c r="E8" s="5" t="n"/>
      <c r="F8" s="120" t="n"/>
      <c r="G8" s="28" t="n"/>
      <c r="H8" s="24" t="n"/>
      <c r="I8" s="25" t="n"/>
      <c r="J8" s="25" t="n"/>
      <c r="K8" s="25" t="n"/>
      <c r="L8" s="26" t="n"/>
      <c r="M8" s="25" t="n"/>
      <c r="N8" s="45" t="n"/>
      <c r="Q8" s="22" t="n"/>
      <c r="R8" s="22" t="n"/>
      <c r="S8" s="22" t="n"/>
    </row>
    <row r="9" ht="17.75" customFormat="1" customHeight="1" s="21">
      <c r="A9" s="188" t="n"/>
      <c r="B9" s="189" t="n"/>
      <c r="C9" s="205" t="n"/>
      <c r="D9" s="189" t="n"/>
      <c r="E9" s="5" t="n"/>
      <c r="F9" s="27" t="n"/>
      <c r="G9" s="28" t="n"/>
      <c r="H9" s="24" t="n"/>
      <c r="I9" s="25" t="n"/>
      <c r="J9" s="25" t="n"/>
      <c r="K9" s="25" t="n"/>
      <c r="L9" s="26" t="n"/>
      <c r="M9" s="25" t="n"/>
      <c r="N9" s="45" t="n"/>
      <c r="Q9" s="22" t="n"/>
      <c r="R9" s="22" t="n"/>
      <c r="S9" s="22" t="n"/>
    </row>
    <row r="10" ht="17.75" customFormat="1" customHeight="1" s="21">
      <c r="A10" s="188" t="n"/>
      <c r="B10" s="189" t="n"/>
      <c r="C10" s="197" t="n"/>
      <c r="D10" s="189" t="n"/>
      <c r="E10" s="205" t="n"/>
      <c r="F10" s="27" t="n"/>
      <c r="G10" s="28" t="n"/>
      <c r="H10" s="24" t="n"/>
      <c r="I10" s="25" t="n"/>
      <c r="J10" s="25" t="n"/>
      <c r="K10" s="25" t="n"/>
      <c r="L10" s="26" t="n"/>
      <c r="M10" s="25" t="n"/>
      <c r="N10" s="45" t="n"/>
      <c r="Q10" s="22" t="n"/>
      <c r="R10" s="22" t="n"/>
      <c r="S10" s="22" t="n"/>
    </row>
    <row r="11" ht="17.75" customFormat="1" customHeight="1" s="21">
      <c r="A11" s="243" t="n"/>
      <c r="B11" s="189" t="n"/>
      <c r="C11" s="244" t="n"/>
      <c r="D11" s="237" t="n"/>
      <c r="E11" s="205" t="n"/>
      <c r="F11" s="27" t="n"/>
      <c r="G11" s="28" t="n"/>
      <c r="H11" s="24" t="n"/>
      <c r="I11" s="25" t="n"/>
      <c r="J11" s="25" t="n"/>
      <c r="K11" s="25" t="n"/>
      <c r="L11" s="26" t="n"/>
      <c r="M11" s="25" t="n"/>
      <c r="N11" s="45" t="n"/>
      <c r="Q11" s="22" t="n"/>
      <c r="R11" s="22" t="n"/>
      <c r="S11" s="22" t="n"/>
    </row>
    <row r="12" ht="17.75" customFormat="1" customHeight="1" s="21">
      <c r="A12" s="192" t="n"/>
      <c r="B12" s="189" t="n"/>
      <c r="C12" s="198" t="n"/>
      <c r="D12" s="189" t="n"/>
      <c r="E12" s="205" t="n"/>
      <c r="F12" s="27" t="n"/>
      <c r="G12" s="28" t="n"/>
      <c r="H12" s="24" t="n"/>
      <c r="I12" s="25" t="n"/>
      <c r="J12" s="25" t="n"/>
      <c r="K12" s="25" t="n"/>
      <c r="L12" s="26" t="n"/>
      <c r="M12" s="25" t="n"/>
      <c r="N12" s="45" t="n"/>
      <c r="Q12" s="22" t="n"/>
      <c r="R12" s="22" t="n"/>
      <c r="S12" s="22" t="n"/>
    </row>
    <row r="13" ht="17.75" customFormat="1" customHeight="1" s="21">
      <c r="A13" s="243" t="n"/>
      <c r="B13" s="189" t="n"/>
      <c r="C13" s="244" t="n"/>
      <c r="D13" s="237" t="n"/>
      <c r="E13" s="205" t="n"/>
      <c r="F13" s="27" t="n"/>
      <c r="G13" s="28" t="n"/>
      <c r="H13" s="24" t="n"/>
      <c r="I13" s="25" t="n"/>
      <c r="J13" s="25" t="n"/>
      <c r="K13" s="25" t="n"/>
      <c r="L13" s="26" t="n"/>
      <c r="M13" s="25" t="n"/>
      <c r="N13" s="45" t="n"/>
      <c r="Q13" s="22" t="n"/>
      <c r="R13" s="22" t="n"/>
      <c r="S13" s="22" t="n"/>
    </row>
    <row r="14" ht="17.75" customFormat="1" customHeight="1" s="21">
      <c r="A14" s="243" t="n"/>
      <c r="B14" s="189" t="n"/>
      <c r="C14" s="244" t="n"/>
      <c r="D14" s="237" t="n"/>
      <c r="E14" s="205" t="n"/>
      <c r="F14" s="27" t="n"/>
      <c r="G14" s="28" t="n"/>
      <c r="H14" s="24" t="n"/>
      <c r="I14" s="25" t="n"/>
      <c r="J14" s="25" t="n"/>
      <c r="K14" s="25" t="n"/>
      <c r="L14" s="26" t="n"/>
      <c r="M14" s="25" t="n"/>
      <c r="N14" s="45" t="n"/>
    </row>
    <row r="15" ht="17.75" customFormat="1" customHeight="1" s="21">
      <c r="A15" s="188" t="n"/>
      <c r="B15" s="189" t="n"/>
      <c r="C15" s="197" t="n"/>
      <c r="D15" s="189" t="n"/>
      <c r="E15" s="205" t="n"/>
      <c r="F15" s="27" t="n"/>
      <c r="G15" s="28" t="n"/>
      <c r="H15" s="24" t="n"/>
      <c r="I15" s="25" t="n"/>
      <c r="J15" s="25" t="n"/>
      <c r="K15" s="25" t="n"/>
      <c r="L15" s="26" t="n"/>
      <c r="M15" s="25" t="n"/>
      <c r="N15" s="45" t="n"/>
    </row>
    <row r="16" ht="17.75" customFormat="1" customHeight="1" s="21">
      <c r="A16" s="188" t="n"/>
      <c r="B16" s="189" t="n"/>
      <c r="C16" s="197" t="n"/>
      <c r="D16" s="189" t="n"/>
      <c r="E16" s="205" t="n"/>
      <c r="F16" s="27" t="n"/>
      <c r="G16" s="28" t="n"/>
      <c r="H16" s="24" t="n"/>
      <c r="I16" s="25" t="n"/>
      <c r="J16" s="25" t="n"/>
      <c r="K16" s="25" t="n"/>
      <c r="L16" s="26" t="n"/>
      <c r="M16" s="25" t="n"/>
      <c r="N16" s="45" t="n"/>
    </row>
    <row r="17" ht="18.5" customFormat="1" customHeight="1" s="21">
      <c r="A17" s="243" t="n"/>
      <c r="B17" s="189" t="n"/>
      <c r="C17" s="244" t="n"/>
      <c r="D17" s="237" t="n"/>
      <c r="E17" s="205" t="n"/>
      <c r="F17" s="27" t="n"/>
      <c r="G17" s="28" t="n"/>
      <c r="H17" s="24" t="n"/>
      <c r="I17" s="25" t="n"/>
      <c r="J17" s="25" t="n"/>
      <c r="K17" s="25" t="n"/>
      <c r="L17" s="26" t="n"/>
      <c r="M17" s="25" t="n"/>
      <c r="N17" s="45" t="n"/>
    </row>
    <row r="18" ht="17.75" customFormat="1" customHeight="1" s="21">
      <c r="A18" s="188" t="n"/>
      <c r="B18" s="189" t="n"/>
      <c r="C18" s="197" t="n"/>
      <c r="D18" s="189" t="n"/>
      <c r="E18" s="205" t="n"/>
      <c r="F18" s="27" t="n"/>
      <c r="G18" s="28" t="n"/>
      <c r="H18" s="24" t="n"/>
      <c r="I18" s="25" t="n"/>
      <c r="J18" s="25" t="n"/>
      <c r="K18" s="25" t="n"/>
      <c r="L18" s="26" t="n"/>
      <c r="M18" s="25" t="n"/>
      <c r="N18" s="45" t="n"/>
    </row>
    <row r="19" ht="17.5" customFormat="1" customHeight="1" s="21">
      <c r="A19" s="243" t="n"/>
      <c r="B19" s="189" t="n"/>
      <c r="C19" s="244" t="n"/>
      <c r="D19" s="237" t="n"/>
      <c r="E19" s="205" t="n"/>
      <c r="F19" s="27" t="n"/>
      <c r="G19" s="28" t="n"/>
      <c r="H19" s="24" t="n"/>
      <c r="I19" s="25" t="n"/>
      <c r="J19" s="25" t="n"/>
      <c r="K19" s="25" t="n"/>
      <c r="L19" s="26" t="n"/>
      <c r="M19" s="25" t="n"/>
      <c r="N19" s="45" t="n"/>
    </row>
    <row r="20" ht="17.75" customFormat="1" customHeight="1" s="21">
      <c r="A20" s="188" t="n"/>
      <c r="B20" s="189" t="n"/>
      <c r="C20" s="197" t="n"/>
      <c r="D20" s="189" t="n"/>
      <c r="E20" s="205" t="n"/>
      <c r="F20" s="27" t="n"/>
      <c r="G20" s="28" t="n"/>
      <c r="H20" s="24" t="n"/>
      <c r="I20" s="25" t="n"/>
      <c r="J20" s="25" t="n"/>
      <c r="K20" s="25" t="n"/>
      <c r="L20" s="26" t="n"/>
      <c r="M20" s="25" t="n"/>
      <c r="N20" s="45" t="n"/>
    </row>
    <row r="21" ht="17.75" customFormat="1" customHeight="1" s="21">
      <c r="A21" s="243" t="n"/>
      <c r="B21" s="189" t="n"/>
      <c r="C21" s="244" t="n"/>
      <c r="D21" s="237" t="n"/>
      <c r="E21" s="205" t="n"/>
      <c r="F21" s="27" t="n"/>
      <c r="G21" s="28" t="n"/>
      <c r="H21" s="24" t="n"/>
      <c r="I21" s="25" t="n"/>
      <c r="J21" s="25" t="n"/>
      <c r="K21" s="25" t="n"/>
      <c r="L21" s="26" t="n"/>
      <c r="M21" s="25" t="n"/>
      <c r="N21" s="45" t="n"/>
    </row>
    <row r="22" ht="17.75" customFormat="1" customHeight="1" s="21">
      <c r="A22" s="243" t="n"/>
      <c r="B22" s="189" t="n"/>
      <c r="C22" s="244" t="n"/>
      <c r="D22" s="237" t="n"/>
      <c r="E22" s="205" t="n"/>
      <c r="F22" s="27" t="n"/>
      <c r="G22" s="28" t="n"/>
      <c r="H22" s="24" t="n"/>
      <c r="I22" s="25" t="n"/>
      <c r="J22" s="25" t="n"/>
      <c r="K22" s="25" t="n"/>
      <c r="L22" s="26" t="n"/>
      <c r="M22" s="25" t="n"/>
      <c r="N22" s="45" t="n"/>
    </row>
    <row r="23" ht="17.75" customFormat="1" customHeight="1" s="21">
      <c r="A23" s="243" t="n"/>
      <c r="B23" s="189" t="n"/>
      <c r="C23" s="244" t="n"/>
      <c r="D23" s="237" t="n"/>
      <c r="E23" s="205" t="n"/>
      <c r="F23" s="27" t="n"/>
      <c r="G23" s="28" t="n"/>
      <c r="H23" s="24" t="n"/>
      <c r="I23" s="25" t="n"/>
      <c r="J23" s="25" t="n"/>
      <c r="K23" s="25" t="n"/>
      <c r="L23" s="26" t="n"/>
      <c r="M23" s="25" t="n"/>
      <c r="N23" s="45" t="n"/>
    </row>
    <row r="24" ht="17.75" customFormat="1" customHeight="1" s="21">
      <c r="A24" s="243" t="n"/>
      <c r="B24" s="189" t="n"/>
      <c r="C24" s="244" t="n"/>
      <c r="D24" s="237" t="n"/>
      <c r="E24" s="205" t="n"/>
      <c r="F24" s="27" t="n"/>
      <c r="G24" s="28" t="n"/>
      <c r="H24" s="24" t="n"/>
      <c r="I24" s="25" t="n"/>
      <c r="J24" s="25" t="n"/>
      <c r="K24" s="25" t="n"/>
      <c r="L24" s="26" t="n"/>
      <c r="M24" s="25" t="n"/>
      <c r="N24" s="45" t="n"/>
    </row>
    <row r="25" ht="17.75" customFormat="1" customHeight="1" s="21">
      <c r="A25" s="243" t="n"/>
      <c r="B25" s="189" t="n"/>
      <c r="C25" s="244" t="n"/>
      <c r="D25" s="237" t="n"/>
      <c r="E25" s="205" t="n"/>
      <c r="F25" s="27" t="n"/>
      <c r="G25" s="28" t="n"/>
      <c r="H25" s="24" t="n"/>
      <c r="I25" s="25" t="n"/>
      <c r="J25" s="25" t="n"/>
      <c r="K25" s="25" t="n"/>
      <c r="L25" s="26" t="n"/>
      <c r="M25" s="25" t="n"/>
      <c r="N25" s="45" t="n"/>
    </row>
    <row r="26" ht="17.75" customFormat="1" customHeight="1" s="21">
      <c r="A26" s="243" t="n"/>
      <c r="B26" s="189" t="n"/>
      <c r="C26" s="244" t="n"/>
      <c r="D26" s="237" t="n"/>
      <c r="E26" s="205" t="n"/>
      <c r="F26" s="27" t="n"/>
      <c r="G26" s="28" t="n"/>
      <c r="H26" s="24" t="n"/>
      <c r="I26" s="25" t="n"/>
      <c r="J26" s="25" t="n"/>
      <c r="K26" s="25" t="n"/>
      <c r="L26" s="26" t="n"/>
      <c r="M26" s="25" t="n"/>
      <c r="N26" s="45" t="n"/>
    </row>
    <row r="27" ht="17.75" customFormat="1" customHeight="1" s="21">
      <c r="A27" s="243" t="n"/>
      <c r="B27" s="189" t="n"/>
      <c r="C27" s="244" t="n"/>
      <c r="D27" s="237" t="n"/>
      <c r="E27" s="205" t="n"/>
      <c r="F27" s="27" t="n"/>
      <c r="G27" s="28" t="n"/>
      <c r="H27" s="24" t="n"/>
      <c r="I27" s="25" t="n"/>
      <c r="J27" s="25" t="n"/>
      <c r="K27" s="25" t="n"/>
      <c r="L27" s="26" t="n"/>
      <c r="M27" s="25" t="n"/>
      <c r="N27" s="45" t="n"/>
    </row>
    <row r="28" ht="19.5" customFormat="1" customHeight="1" s="21" thickBot="1">
      <c r="A28" s="248" t="n"/>
      <c r="B28" s="249" t="n"/>
      <c r="C28" s="250" t="n"/>
      <c r="D28" s="251" t="n"/>
      <c r="E28" s="47" t="n"/>
      <c r="F28" s="29" t="n"/>
      <c r="G28" s="28" t="n"/>
      <c r="H28" s="24" t="n"/>
      <c r="I28" s="25" t="n"/>
      <c r="J28" s="25" t="n"/>
      <c r="K28" s="25" t="n"/>
      <c r="L28" s="26" t="n"/>
      <c r="M28" s="25" t="n"/>
      <c r="N28" s="45" t="n"/>
    </row>
    <row r="29" ht="18.75" customFormat="1" customHeight="1" s="21" thickBot="1">
      <c r="A29" s="247" t="inlineStr">
        <is>
          <t>合計</t>
        </is>
      </c>
      <c r="B29" s="242" t="n"/>
      <c r="C29" s="242" t="n"/>
      <c r="D29" s="242" t="n"/>
      <c r="E29" s="242" t="n"/>
      <c r="F29" s="194" t="n"/>
      <c r="G29" s="30">
        <f>SUM(G2:G28)</f>
        <v/>
      </c>
      <c r="H29" s="30">
        <f>SUM(H2:H28)</f>
        <v/>
      </c>
      <c r="I29" s="30">
        <f>SUM(I2:I28)</f>
        <v/>
      </c>
      <c r="J29" s="30">
        <f>SUM(J2:J28)</f>
        <v/>
      </c>
      <c r="K29" s="30">
        <f>SUM(K2:K28)</f>
        <v/>
      </c>
      <c r="L29" s="30">
        <f>SUM(L2:L28)</f>
        <v/>
      </c>
      <c r="M29" s="30">
        <f>SUM(M2:M28)</f>
        <v/>
      </c>
      <c r="N29" s="30">
        <f>SUM(N2:N28)</f>
        <v/>
      </c>
    </row>
  </sheetData>
  <autoFilter ref="A1:N5">
    <filterColumn colId="0" hiddenButton="0" showButton="0"/>
    <filterColumn colId="2" hiddenButton="0" showButton="0"/>
  </autoFilter>
  <mergeCells count="57">
    <mergeCell ref="A24:B24"/>
    <mergeCell ref="C6:D6"/>
    <mergeCell ref="C24:D24"/>
    <mergeCell ref="A15:B15"/>
    <mergeCell ref="C15:D15"/>
    <mergeCell ref="A11:B11"/>
    <mergeCell ref="C5:D5"/>
    <mergeCell ref="C14:D14"/>
    <mergeCell ref="A1:B1"/>
    <mergeCell ref="C26:D26"/>
    <mergeCell ref="A6:B6"/>
    <mergeCell ref="C4:D4"/>
    <mergeCell ref="C20:D20"/>
    <mergeCell ref="A16:B16"/>
    <mergeCell ref="C10:D10"/>
    <mergeCell ref="A7:B7"/>
    <mergeCell ref="C16:D16"/>
    <mergeCell ref="C1:D1"/>
    <mergeCell ref="A25:B25"/>
    <mergeCell ref="C25:D25"/>
    <mergeCell ref="C22:D22"/>
    <mergeCell ref="C9:D9"/>
    <mergeCell ref="A18:B18"/>
    <mergeCell ref="A27:B27"/>
    <mergeCell ref="A3:B3"/>
    <mergeCell ref="A29:F29"/>
    <mergeCell ref="A12:B12"/>
    <mergeCell ref="A26:B26"/>
    <mergeCell ref="C12:D12"/>
    <mergeCell ref="A2:B2"/>
    <mergeCell ref="A21:B21"/>
    <mergeCell ref="C21:D21"/>
    <mergeCell ref="C2:D2"/>
    <mergeCell ref="C11:D11"/>
    <mergeCell ref="C27:D27"/>
    <mergeCell ref="A5:B5"/>
    <mergeCell ref="A14:B14"/>
    <mergeCell ref="A23:B23"/>
    <mergeCell ref="A17:B17"/>
    <mergeCell ref="C17:D17"/>
    <mergeCell ref="A8:B8"/>
    <mergeCell ref="C23:D23"/>
    <mergeCell ref="C8:D8"/>
    <mergeCell ref="A22:B22"/>
    <mergeCell ref="A4:B4"/>
    <mergeCell ref="A20:B20"/>
    <mergeCell ref="C7:D7"/>
    <mergeCell ref="A19:B19"/>
    <mergeCell ref="A10:B10"/>
    <mergeCell ref="A28:B28"/>
    <mergeCell ref="C19:D19"/>
    <mergeCell ref="A13:B13"/>
    <mergeCell ref="C28:D28"/>
    <mergeCell ref="C13:D13"/>
    <mergeCell ref="C18:D18"/>
    <mergeCell ref="A9:B9"/>
    <mergeCell ref="C3:D3"/>
  </mergeCells>
  <pageMargins left="0.7" right="0.7" top="0.75" bottom="0.75" header="0.3" footer="0.3"/>
  <pageSetup orientation="landscape" paperSize="9" scale="77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V33"/>
  <sheetViews>
    <sheetView workbookViewId="0">
      <selection activeCell="F20" sqref="F20"/>
    </sheetView>
  </sheetViews>
  <sheetFormatPr baseColWidth="10" defaultColWidth="8.83203125" defaultRowHeight="18"/>
  <cols>
    <col width="11.5" customWidth="1" style="83" min="4" max="4"/>
    <col width="9.5" customWidth="1" style="118" min="5" max="7"/>
    <col width="11.6640625" customWidth="1" style="119" min="8" max="8"/>
    <col width="11.5" customWidth="1" style="180" min="9" max="9"/>
    <col width="9.1640625" customWidth="1" style="180" min="10" max="10"/>
    <col width="11.6640625" customWidth="1" style="180" min="13" max="13"/>
  </cols>
  <sheetData>
    <row r="1">
      <c r="A1" s="252" t="inlineStr">
        <is>
          <t>レジ金 (常時)</t>
        </is>
      </c>
      <c r="D1" s="113" t="inlineStr">
        <is>
          <t>日付</t>
        </is>
      </c>
      <c r="E1" s="116" t="inlineStr">
        <is>
          <t>現金</t>
        </is>
      </c>
      <c r="F1" s="116" t="inlineStr">
        <is>
          <t>カード</t>
        </is>
      </c>
      <c r="G1" s="117" t="inlineStr">
        <is>
          <t>売上</t>
        </is>
      </c>
      <c r="H1" s="114" t="inlineStr">
        <is>
          <t>マイナス</t>
        </is>
      </c>
      <c r="I1" s="113" t="inlineStr">
        <is>
          <t>日付</t>
        </is>
      </c>
      <c r="J1" s="116" t="inlineStr">
        <is>
          <t>現金</t>
        </is>
      </c>
      <c r="K1" s="116" t="inlineStr">
        <is>
          <t>カード</t>
        </is>
      </c>
      <c r="L1" s="117" t="inlineStr">
        <is>
          <t>売上</t>
        </is>
      </c>
      <c r="M1" s="114" t="inlineStr">
        <is>
          <t>マイナス</t>
        </is>
      </c>
    </row>
    <row r="2">
      <c r="D2" s="110" t="inlineStr">
        <is>
          <t>22025/9/1</t>
        </is>
      </c>
      <c r="E2" s="111" t="n">
        <v>8500</v>
      </c>
      <c r="F2" s="111" t="n">
        <v>61500</v>
      </c>
      <c r="G2" s="111">
        <f>SUM(E2:F2)</f>
        <v/>
      </c>
      <c r="H2" s="121">
        <f>G2-38000</f>
        <v/>
      </c>
      <c r="I2" s="110" t="n">
        <v>45917</v>
      </c>
      <c r="J2" s="111" t="n"/>
      <c r="K2" s="111" t="n"/>
      <c r="L2" s="111">
        <f>SUM(J2:K2)</f>
        <v/>
      </c>
      <c r="M2" s="121">
        <f>L2-32000</f>
        <v/>
      </c>
    </row>
    <row r="3">
      <c r="A3" s="32" t="inlineStr">
        <is>
          <t>円</t>
        </is>
      </c>
      <c r="B3" s="33" t="inlineStr">
        <is>
          <t>枚</t>
        </is>
      </c>
      <c r="C3" s="34" t="inlineStr">
        <is>
          <t>合計</t>
        </is>
      </c>
      <c r="D3" s="110" t="n">
        <v>45902</v>
      </c>
      <c r="E3" s="111" t="n">
        <v>4000</v>
      </c>
      <c r="F3" s="111" t="n">
        <v>0</v>
      </c>
      <c r="G3" s="111">
        <f>SUM(E3:F3)</f>
        <v/>
      </c>
      <c r="H3" s="121">
        <f>G3-38000</f>
        <v/>
      </c>
      <c r="I3" s="110" t="n">
        <v>45918</v>
      </c>
      <c r="J3" s="111" t="n"/>
      <c r="K3" s="111" t="n"/>
      <c r="L3" s="111">
        <f>SUM(J3:K3)</f>
        <v/>
      </c>
      <c r="M3" s="121">
        <f>L3-32000</f>
        <v/>
      </c>
      <c r="Q3" s="253" t="n">
        <v>500</v>
      </c>
      <c r="R3" s="253" t="n">
        <v>10</v>
      </c>
      <c r="S3" s="163" t="n">
        <v>5000</v>
      </c>
    </row>
    <row r="4">
      <c r="A4" s="31" t="n">
        <v>10</v>
      </c>
      <c r="B4" s="31" t="n">
        <v>5</v>
      </c>
      <c r="C4" s="31">
        <f>(A4*B4)</f>
        <v/>
      </c>
      <c r="D4" s="110" t="inlineStr">
        <is>
          <t>22025/9/3</t>
        </is>
      </c>
      <c r="E4" s="111" t="n">
        <v>0</v>
      </c>
      <c r="F4" s="111" t="n">
        <v>0</v>
      </c>
      <c r="G4" s="111">
        <f>SUM(E4:F4)</f>
        <v/>
      </c>
      <c r="H4" s="121" t="n"/>
      <c r="I4" s="110" t="n">
        <v>45919</v>
      </c>
      <c r="J4" s="111" t="n"/>
      <c r="K4" s="158" t="n"/>
      <c r="L4" s="111">
        <f>SUM(J4:K4)</f>
        <v/>
      </c>
      <c r="M4" s="121">
        <f>L4-32000</f>
        <v/>
      </c>
      <c r="Q4" s="253" t="n">
        <v>100</v>
      </c>
      <c r="R4" s="253" t="n">
        <v>44</v>
      </c>
      <c r="S4" s="163" t="n">
        <v>4400</v>
      </c>
    </row>
    <row r="5">
      <c r="A5" s="31" t="n">
        <v>50</v>
      </c>
      <c r="B5" s="31" t="n">
        <v>5</v>
      </c>
      <c r="C5" s="31">
        <f>(A5*B5)</f>
        <v/>
      </c>
      <c r="D5" s="110" t="inlineStr">
        <is>
          <t>22025/9/4</t>
        </is>
      </c>
      <c r="E5" s="111" t="n"/>
      <c r="F5" s="111" t="n">
        <v>51500</v>
      </c>
      <c r="G5" s="111">
        <f>SUM(E5:F5)</f>
        <v/>
      </c>
      <c r="H5" s="121">
        <f>G5-38000</f>
        <v/>
      </c>
      <c r="I5" s="110" t="n">
        <v>45920</v>
      </c>
      <c r="J5" s="111" t="n"/>
      <c r="K5" s="111" t="n"/>
      <c r="L5" s="111">
        <f>SUM(J5:K5)</f>
        <v/>
      </c>
      <c r="M5" s="121">
        <f>L5-32000</f>
        <v/>
      </c>
      <c r="Q5" s="253" t="n">
        <v>50</v>
      </c>
      <c r="R5" s="253" t="n">
        <v>6</v>
      </c>
      <c r="S5" s="253" t="n">
        <v>300</v>
      </c>
    </row>
    <row r="6">
      <c r="A6" s="31" t="n">
        <v>100</v>
      </c>
      <c r="B6" s="31" t="n">
        <v>12</v>
      </c>
      <c r="C6" s="31">
        <f>(A6*B6)</f>
        <v/>
      </c>
      <c r="D6" s="110" t="inlineStr">
        <is>
          <t>22025/9/5</t>
        </is>
      </c>
      <c r="E6" s="111" t="n"/>
      <c r="F6" s="111" t="n"/>
      <c r="G6" s="111">
        <f>SUM(E6:F6)</f>
        <v/>
      </c>
      <c r="H6" s="121">
        <f>G6-38000</f>
        <v/>
      </c>
      <c r="I6" s="110" t="n">
        <v>45921</v>
      </c>
      <c r="J6" s="111" t="n"/>
      <c r="K6" s="111" t="n"/>
      <c r="L6" s="111">
        <f>SUM(J6:K6)</f>
        <v/>
      </c>
      <c r="M6" s="121">
        <f>L6-32000</f>
        <v/>
      </c>
      <c r="Q6" s="253" t="n">
        <v>10</v>
      </c>
      <c r="R6" s="253" t="n">
        <v>0</v>
      </c>
      <c r="S6" s="253" t="n">
        <v>0</v>
      </c>
    </row>
    <row r="7">
      <c r="A7" s="31" t="n">
        <v>500</v>
      </c>
      <c r="B7" s="31" t="n">
        <v>3</v>
      </c>
      <c r="C7" s="31">
        <f>(A7*B7)</f>
        <v/>
      </c>
      <c r="D7" s="110" t="inlineStr">
        <is>
          <t>22025/9/6</t>
        </is>
      </c>
      <c r="E7" s="111" t="n">
        <v>25200</v>
      </c>
      <c r="F7" s="111" t="n"/>
      <c r="G7" s="111">
        <f>SUM(E7:F7)</f>
        <v/>
      </c>
      <c r="H7" s="121">
        <f>G7-38000</f>
        <v/>
      </c>
      <c r="I7" s="110" t="n">
        <v>45922</v>
      </c>
      <c r="J7" s="111" t="n"/>
      <c r="K7" s="111" t="n"/>
      <c r="L7" s="111">
        <f>SUM(J7:K7)</f>
        <v/>
      </c>
      <c r="M7" s="121">
        <f>L7-32000</f>
        <v/>
      </c>
      <c r="Q7" s="163" t="n">
        <v>1000</v>
      </c>
      <c r="R7" s="253" t="n">
        <v>14</v>
      </c>
      <c r="S7" s="163" t="n">
        <v>14000</v>
      </c>
    </row>
    <row r="8">
      <c r="A8" s="31" t="n">
        <v>1000</v>
      </c>
      <c r="B8" s="31" t="n">
        <v>12</v>
      </c>
      <c r="C8" s="31">
        <f>(A8*B8)</f>
        <v/>
      </c>
      <c r="D8" s="110" t="inlineStr">
        <is>
          <t>22025/9/7</t>
        </is>
      </c>
      <c r="E8" s="111" t="n"/>
      <c r="F8" s="111" t="n">
        <v>108000</v>
      </c>
      <c r="G8" s="111">
        <f>SUM(E8:F8)</f>
        <v/>
      </c>
      <c r="H8" s="121">
        <f>G8-38000</f>
        <v/>
      </c>
      <c r="I8" s="110" t="n">
        <v>45923</v>
      </c>
      <c r="J8" s="111" t="n"/>
      <c r="K8" s="111" t="n"/>
      <c r="L8" s="111">
        <f>SUM(J8:K8)</f>
        <v/>
      </c>
      <c r="M8" s="121">
        <f>L8-32000</f>
        <v/>
      </c>
      <c r="Q8" s="163" t="n">
        <v>5000</v>
      </c>
      <c r="R8" s="253" t="n">
        <v>2</v>
      </c>
      <c r="S8" s="163" t="n">
        <v>10000</v>
      </c>
    </row>
    <row r="9">
      <c r="A9" s="31" t="n">
        <v>5000</v>
      </c>
      <c r="B9" s="31" t="n">
        <v>3</v>
      </c>
      <c r="C9" s="31">
        <f>(A9*B9)</f>
        <v/>
      </c>
      <c r="D9" s="110" t="inlineStr">
        <is>
          <t>22025/9/8</t>
        </is>
      </c>
      <c r="E9" s="111" t="n"/>
      <c r="F9" s="111" t="n"/>
      <c r="G9" s="111">
        <f>SUM(E9:F9)</f>
        <v/>
      </c>
      <c r="H9" s="121" t="n">
        <v>0</v>
      </c>
      <c r="I9" s="110" t="n">
        <v>45924</v>
      </c>
      <c r="J9" s="111" t="n"/>
      <c r="K9" s="111" t="n"/>
      <c r="L9" s="111">
        <f>SUM(J9:K9)</f>
        <v/>
      </c>
      <c r="M9" s="121">
        <f>L9-32000</f>
        <v/>
      </c>
      <c r="Q9" s="163" t="n">
        <v>10000</v>
      </c>
      <c r="R9" s="253" t="n">
        <v>0</v>
      </c>
      <c r="S9" s="253" t="n">
        <v>0</v>
      </c>
    </row>
    <row r="10">
      <c r="A10" s="31" t="n">
        <v>10000</v>
      </c>
      <c r="B10" s="31" t="n">
        <v>0</v>
      </c>
      <c r="C10" s="31">
        <f>(A10*B10)</f>
        <v/>
      </c>
      <c r="D10" s="110" t="inlineStr">
        <is>
          <t>22025/9/9</t>
        </is>
      </c>
      <c r="E10" s="111" t="n"/>
      <c r="F10" s="111" t="n">
        <v>104000</v>
      </c>
      <c r="G10" s="111">
        <f>SUM(E10:F10)</f>
        <v/>
      </c>
      <c r="H10" s="121">
        <f>G10-38000</f>
        <v/>
      </c>
      <c r="I10" s="110" t="n">
        <v>45925</v>
      </c>
      <c r="J10" s="111" t="n"/>
      <c r="K10" s="111" t="n"/>
      <c r="L10" s="111">
        <f>SUM(J10:K10)</f>
        <v/>
      </c>
      <c r="M10" s="121">
        <f>L10-32000</f>
        <v/>
      </c>
      <c r="S10" s="163" t="n">
        <v>33700</v>
      </c>
    </row>
    <row r="11">
      <c r="A11" s="254" t="inlineStr">
        <is>
          <t>全合計</t>
        </is>
      </c>
      <c r="B11" s="191" t="n"/>
      <c r="C11" s="31">
        <f>SUM(C4:C10)</f>
        <v/>
      </c>
      <c r="D11" s="110" t="inlineStr">
        <is>
          <t>22025/9/10</t>
        </is>
      </c>
      <c r="E11" s="111" t="n">
        <v>66000</v>
      </c>
      <c r="F11" s="111" t="n"/>
      <c r="G11" s="111">
        <f>SUM(E11:F11)</f>
        <v/>
      </c>
      <c r="H11" s="121">
        <f>G11-38000</f>
        <v/>
      </c>
      <c r="I11" s="110" t="n">
        <v>45926</v>
      </c>
      <c r="J11" s="111" t="n"/>
      <c r="K11" s="111" t="n"/>
      <c r="L11" s="111">
        <f>SUM(J11:K11)</f>
        <v/>
      </c>
      <c r="M11" s="121">
        <f>L11-32000</f>
        <v/>
      </c>
    </row>
    <row r="12">
      <c r="A12" s="252" t="inlineStr">
        <is>
          <t>レジ金 (集計)</t>
        </is>
      </c>
      <c r="D12" s="110" t="inlineStr">
        <is>
          <t>22025/9/11</t>
        </is>
      </c>
      <c r="E12" s="111" t="n">
        <v>67500</v>
      </c>
      <c r="F12" s="111" t="n"/>
      <c r="G12" s="111">
        <f>SUM(E12:F12)</f>
        <v/>
      </c>
      <c r="H12" s="121">
        <f>G12-38000</f>
        <v/>
      </c>
      <c r="I12" s="110" t="n">
        <v>45927</v>
      </c>
      <c r="J12" s="111" t="n"/>
      <c r="K12" s="111" t="n"/>
      <c r="L12" s="111">
        <f>SUM(J12:K12)</f>
        <v/>
      </c>
      <c r="M12" s="121">
        <f>L12-32000</f>
        <v/>
      </c>
    </row>
    <row r="13">
      <c r="D13" s="110" t="inlineStr">
        <is>
          <t>22025/9/12</t>
        </is>
      </c>
      <c r="E13" s="111" t="n"/>
      <c r="F13" s="111" t="n"/>
      <c r="G13" s="111">
        <f>SUM(E13:F13)</f>
        <v/>
      </c>
      <c r="H13" s="121">
        <f>G13-38000</f>
        <v/>
      </c>
      <c r="I13" s="110" t="n">
        <v>45928</v>
      </c>
      <c r="J13" s="111" t="n"/>
      <c r="K13" s="111" t="n"/>
      <c r="L13" s="111">
        <f>SUM(J13:K13)</f>
        <v/>
      </c>
      <c r="M13" s="121">
        <f>L13-32000</f>
        <v/>
      </c>
    </row>
    <row r="14">
      <c r="A14" s="32" t="inlineStr">
        <is>
          <t>円</t>
        </is>
      </c>
      <c r="B14" s="33" t="inlineStr">
        <is>
          <t>枚</t>
        </is>
      </c>
      <c r="C14" s="34" t="inlineStr">
        <is>
          <t>合計</t>
        </is>
      </c>
      <c r="D14" s="110" t="inlineStr">
        <is>
          <t>22025/9/13</t>
        </is>
      </c>
      <c r="E14" s="111" t="n">
        <v>3000</v>
      </c>
      <c r="F14" s="111" t="n"/>
      <c r="G14" s="111">
        <f>SUM(E14:F14)</f>
        <v/>
      </c>
      <c r="H14" s="121">
        <f>G14-38000</f>
        <v/>
      </c>
      <c r="I14" s="110" t="n">
        <v>45929</v>
      </c>
      <c r="J14" s="111" t="n"/>
      <c r="K14" s="111" t="n"/>
      <c r="L14" s="111">
        <f>SUM(J14:K14)</f>
        <v/>
      </c>
      <c r="M14" s="121">
        <f>L14-32000</f>
        <v/>
      </c>
    </row>
    <row r="15">
      <c r="A15" s="31" t="n">
        <v>10</v>
      </c>
      <c r="B15" s="31" t="n">
        <v>5</v>
      </c>
      <c r="C15" s="31">
        <f>(A15*B15)</f>
        <v/>
      </c>
      <c r="D15" s="110" t="inlineStr">
        <is>
          <t>22025/9/14</t>
        </is>
      </c>
      <c r="E15" s="111" t="n"/>
      <c r="F15" s="111" t="n">
        <v>17000</v>
      </c>
      <c r="G15" s="111">
        <f>SUM(E15:F15)</f>
        <v/>
      </c>
      <c r="H15" s="121">
        <f>G15-38000</f>
        <v/>
      </c>
      <c r="I15" s="110" t="n">
        <v>45930</v>
      </c>
      <c r="J15" s="111" t="n"/>
      <c r="K15" s="111" t="n"/>
      <c r="L15" s="111">
        <f>SUM(J15:K15)</f>
        <v/>
      </c>
      <c r="M15" s="121">
        <f>L15-32000</f>
        <v/>
      </c>
    </row>
    <row r="16">
      <c r="A16" s="31" t="n">
        <v>50</v>
      </c>
      <c r="B16" s="31" t="n">
        <v>5</v>
      </c>
      <c r="C16" s="31">
        <f>(A16*B16)</f>
        <v/>
      </c>
      <c r="D16" s="110" t="inlineStr">
        <is>
          <t>22025/9/15</t>
        </is>
      </c>
      <c r="E16" s="111" t="n"/>
      <c r="F16" s="111" t="n">
        <v>59900</v>
      </c>
      <c r="G16" s="111">
        <f>SUM(E16:F16)</f>
        <v/>
      </c>
      <c r="H16" s="121">
        <f>G16-38000</f>
        <v/>
      </c>
      <c r="I16" s="110" t="n"/>
      <c r="J16" s="111" t="n"/>
      <c r="K16" s="111" t="n"/>
      <c r="L16" s="111">
        <f>SUM(J16:K16)</f>
        <v/>
      </c>
      <c r="M16" s="121">
        <f>L16-32000</f>
        <v/>
      </c>
    </row>
    <row r="17" ht="19.5" customHeight="1" s="180" thickBot="1">
      <c r="A17" s="31" t="n">
        <v>100</v>
      </c>
      <c r="B17" s="31" t="n">
        <v>12</v>
      </c>
      <c r="C17" s="31">
        <f>(A17*B17)</f>
        <v/>
      </c>
      <c r="D17" s="110" t="inlineStr">
        <is>
          <t>22025/9/16</t>
        </is>
      </c>
      <c r="E17" s="111" t="n"/>
      <c r="F17" s="111" t="n"/>
      <c r="G17" s="111">
        <f>SUM(E17:F17)</f>
        <v/>
      </c>
      <c r="H17" s="121">
        <f>G17-38000</f>
        <v/>
      </c>
      <c r="I17" s="110" t="n"/>
      <c r="J17" s="111" t="n"/>
      <c r="K17" s="111" t="n"/>
      <c r="L17" s="111">
        <f>SUM(J17:K17)</f>
        <v/>
      </c>
      <c r="M17" s="121" t="n"/>
    </row>
    <row r="18" ht="19.5" customHeight="1" s="180" thickBot="1">
      <c r="A18" s="31" t="n">
        <v>500</v>
      </c>
      <c r="B18" s="31" t="n">
        <v>3</v>
      </c>
      <c r="C18" s="31">
        <f>(A18*B18)</f>
        <v/>
      </c>
      <c r="D18" s="115" t="inlineStr">
        <is>
          <t>合計</t>
        </is>
      </c>
      <c r="E18" s="112">
        <f>SUM(E2:E17)</f>
        <v/>
      </c>
      <c r="F18" s="112">
        <f>SUM(F2:F17)</f>
        <v/>
      </c>
      <c r="G18" s="112">
        <f>SUM(G2:G17)</f>
        <v/>
      </c>
      <c r="H18" s="125">
        <f>SUM(H2:H17)</f>
        <v/>
      </c>
      <c r="I18" s="115" t="inlineStr">
        <is>
          <t>合計</t>
        </is>
      </c>
      <c r="J18" s="112">
        <f>SUM(J2:J17)</f>
        <v/>
      </c>
      <c r="K18" s="112">
        <f>SUM(K2:K17)</f>
        <v/>
      </c>
      <c r="L18" s="111">
        <f>SUM(J18:K18)</f>
        <v/>
      </c>
      <c r="M18" s="125">
        <f>SUM(M2:M17)</f>
        <v/>
      </c>
    </row>
    <row r="19">
      <c r="A19" s="31" t="n">
        <v>1000</v>
      </c>
      <c r="B19" s="31" t="n">
        <v>12</v>
      </c>
      <c r="C19" s="31">
        <f>(A19*B19)</f>
        <v/>
      </c>
      <c r="I19" s="82" t="n"/>
      <c r="J19" s="122" t="n"/>
      <c r="V19" s="253" t="n">
        <v>0</v>
      </c>
    </row>
    <row r="20">
      <c r="A20" s="31" t="n">
        <v>5000</v>
      </c>
      <c r="B20" s="31" t="n">
        <v>3</v>
      </c>
      <c r="C20" s="31">
        <f>(A20*B20)</f>
        <v/>
      </c>
      <c r="I20" s="82" t="n"/>
    </row>
    <row r="21">
      <c r="A21" s="31" t="n">
        <v>10000</v>
      </c>
      <c r="B21" s="31" t="n">
        <v>0</v>
      </c>
      <c r="C21" s="31">
        <f>(A21*B21)</f>
        <v/>
      </c>
      <c r="G21" s="118" t="inlineStr">
        <is>
          <t>　</t>
        </is>
      </c>
      <c r="I21" s="82" t="n"/>
    </row>
    <row r="22">
      <c r="A22" s="254" t="n"/>
      <c r="B22" s="191" t="n"/>
      <c r="C22" s="31">
        <f>SUM(C15:C21)</f>
        <v/>
      </c>
      <c r="I22" s="82" t="n"/>
    </row>
    <row r="23">
      <c r="I23" s="82" t="n"/>
    </row>
    <row r="24">
      <c r="I24" s="82" t="n"/>
    </row>
    <row r="25">
      <c r="I25" s="82" t="n"/>
    </row>
    <row r="26">
      <c r="I26" s="82" t="n"/>
    </row>
    <row r="27">
      <c r="G27" s="118" t="inlineStr">
        <is>
          <t>　</t>
        </is>
      </c>
      <c r="I27" s="82" t="n"/>
    </row>
    <row r="28">
      <c r="I28" s="82" t="n"/>
    </row>
    <row r="29">
      <c r="I29" s="82" t="n"/>
      <c r="K29" s="253" t="inlineStr">
        <is>
          <t>　</t>
        </is>
      </c>
    </row>
    <row r="30">
      <c r="I30" s="82" t="n"/>
    </row>
    <row r="31">
      <c r="I31" s="82" t="n"/>
    </row>
    <row r="33">
      <c r="J33" s="253" t="inlineStr">
        <is>
          <t>　</t>
        </is>
      </c>
      <c r="L33" s="253" t="inlineStr">
        <is>
          <t>　　</t>
        </is>
      </c>
    </row>
  </sheetData>
  <mergeCells count="4">
    <mergeCell ref="A1:C2"/>
    <mergeCell ref="A12:C13"/>
    <mergeCell ref="A11:B11"/>
    <mergeCell ref="A22:B22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S27"/>
  <sheetViews>
    <sheetView workbookViewId="0">
      <selection activeCell="B5" sqref="B5:S5"/>
    </sheetView>
  </sheetViews>
  <sheetFormatPr baseColWidth="10" defaultColWidth="8.83203125" defaultRowHeight="18"/>
  <cols>
    <col width="4.5" customWidth="1" style="180" min="1" max="1"/>
  </cols>
  <sheetData>
    <row r="1" ht="19.5" customHeight="1" s="180" thickBot="1"/>
    <row r="2" ht="19.5" customHeight="1" s="180" thickBot="1">
      <c r="B2" s="258" t="inlineStr">
        <is>
          <t>社販リスト</t>
        </is>
      </c>
      <c r="C2" s="242" t="n"/>
      <c r="D2" s="242" t="n"/>
      <c r="E2" s="242" t="n"/>
      <c r="F2" s="242" t="n"/>
      <c r="G2" s="242" t="n"/>
      <c r="H2" s="242" t="n"/>
      <c r="I2" s="242" t="n"/>
      <c r="J2" s="242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194" t="n"/>
    </row>
    <row r="3">
      <c r="B3" s="259" t="inlineStr">
        <is>
          <t>日付</t>
        </is>
      </c>
      <c r="C3" s="260" t="n"/>
      <c r="D3" s="265" t="inlineStr">
        <is>
          <t>名前</t>
        </is>
      </c>
      <c r="E3" s="260" t="n"/>
      <c r="F3" s="265" t="inlineStr">
        <is>
          <t>商品名</t>
        </is>
      </c>
      <c r="G3" s="266" t="n"/>
      <c r="H3" s="266" t="n"/>
      <c r="I3" s="266" t="n"/>
      <c r="J3" s="266" t="n"/>
      <c r="K3" s="266" t="n"/>
      <c r="L3" s="266" t="n"/>
      <c r="M3" s="266" t="n"/>
      <c r="N3" s="266" t="n"/>
      <c r="O3" s="266" t="n"/>
      <c r="P3" s="266" t="n"/>
      <c r="Q3" s="266" t="n"/>
      <c r="R3" s="266" t="n"/>
      <c r="S3" s="260" t="n"/>
    </row>
    <row r="4">
      <c r="B4" s="270" t="inlineStr">
        <is>
          <t>(例)3/1</t>
        </is>
      </c>
      <c r="C4" s="191" t="n"/>
      <c r="D4" s="268" t="inlineStr">
        <is>
          <t>中村</t>
        </is>
      </c>
      <c r="E4" s="191" t="n"/>
      <c r="F4" s="262" t="inlineStr">
        <is>
          <t>炭酸ガスパック(2枚)、プレップミスト(1本)、REVI洗顔(1個)、REVIホワイト美人(1箱)、REVIプレシャスワンシステムマスク(1枚)</t>
        </is>
      </c>
      <c r="G4" s="237" t="n"/>
      <c r="H4" s="237" t="n"/>
      <c r="I4" s="237" t="n"/>
      <c r="J4" s="237" t="n"/>
      <c r="K4" s="237" t="n"/>
      <c r="L4" s="237" t="n"/>
      <c r="M4" s="237" t="n"/>
      <c r="N4" s="237" t="n"/>
      <c r="O4" s="237" t="n"/>
      <c r="P4" s="237" t="n"/>
      <c r="Q4" s="237" t="n"/>
      <c r="R4" s="237" t="n"/>
      <c r="S4" s="191" t="n"/>
    </row>
    <row r="5">
      <c r="B5" s="257" t="n"/>
      <c r="C5" s="191" t="n"/>
      <c r="D5" s="255" t="n"/>
      <c r="E5" s="191" t="n"/>
      <c r="F5" s="261" t="n"/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191" t="n"/>
    </row>
    <row r="6">
      <c r="B6" s="257" t="n"/>
      <c r="C6" s="191" t="n"/>
      <c r="D6" s="255" t="n"/>
      <c r="E6" s="191" t="n"/>
      <c r="F6" s="261" t="n"/>
      <c r="G6" s="237" t="n"/>
      <c r="H6" s="237" t="n"/>
      <c r="I6" s="237" t="n"/>
      <c r="J6" s="237" t="n"/>
      <c r="K6" s="237" t="n"/>
      <c r="L6" s="237" t="n"/>
      <c r="M6" s="237" t="n"/>
      <c r="N6" s="237" t="n"/>
      <c r="O6" s="237" t="n"/>
      <c r="P6" s="237" t="n"/>
      <c r="Q6" s="237" t="n"/>
      <c r="R6" s="237" t="n"/>
      <c r="S6" s="191" t="n"/>
    </row>
    <row r="7">
      <c r="B7" s="257" t="n"/>
      <c r="C7" s="191" t="n"/>
      <c r="D7" s="255" t="n"/>
      <c r="E7" s="191" t="n"/>
      <c r="F7" s="261" t="n"/>
      <c r="G7" s="237" t="n"/>
      <c r="H7" s="237" t="n"/>
      <c r="I7" s="237" t="n"/>
      <c r="J7" s="237" t="n"/>
      <c r="K7" s="237" t="n"/>
      <c r="L7" s="237" t="n"/>
      <c r="M7" s="237" t="n"/>
      <c r="N7" s="237" t="n"/>
      <c r="O7" s="237" t="n"/>
      <c r="P7" s="237" t="n"/>
      <c r="Q7" s="237" t="n"/>
      <c r="R7" s="237" t="n"/>
      <c r="S7" s="191" t="n"/>
    </row>
    <row r="8">
      <c r="B8" s="257" t="n"/>
      <c r="C8" s="191" t="n"/>
      <c r="D8" s="255" t="n"/>
      <c r="E8" s="191" t="n"/>
      <c r="F8" s="261" t="n"/>
      <c r="G8" s="237" t="n"/>
      <c r="H8" s="237" t="n"/>
      <c r="I8" s="237" t="n"/>
      <c r="J8" s="237" t="n"/>
      <c r="K8" s="237" t="n"/>
      <c r="L8" s="237" t="n"/>
      <c r="M8" s="237" t="n"/>
      <c r="N8" s="237" t="n"/>
      <c r="O8" s="237" t="n"/>
      <c r="P8" s="237" t="n"/>
      <c r="Q8" s="237" t="n"/>
      <c r="R8" s="237" t="n"/>
      <c r="S8" s="191" t="n"/>
    </row>
    <row r="9">
      <c r="B9" s="257" t="n"/>
      <c r="C9" s="191" t="n"/>
      <c r="D9" s="255" t="n"/>
      <c r="E9" s="191" t="n"/>
      <c r="F9" s="261" t="n"/>
      <c r="G9" s="237" t="n"/>
      <c r="H9" s="237" t="n"/>
      <c r="I9" s="237" t="n"/>
      <c r="J9" s="237" t="n"/>
      <c r="K9" s="237" t="n"/>
      <c r="L9" s="237" t="n"/>
      <c r="M9" s="237" t="n"/>
      <c r="N9" s="237" t="n"/>
      <c r="O9" s="237" t="n"/>
      <c r="P9" s="237" t="n"/>
      <c r="Q9" s="237" t="n"/>
      <c r="R9" s="237" t="n"/>
      <c r="S9" s="191" t="n"/>
    </row>
    <row r="10">
      <c r="B10" s="257" t="n"/>
      <c r="C10" s="191" t="n"/>
      <c r="D10" s="255" t="n"/>
      <c r="E10" s="191" t="n"/>
      <c r="F10" s="261" t="n"/>
      <c r="G10" s="237" t="n"/>
      <c r="H10" s="237" t="n"/>
      <c r="I10" s="237" t="n"/>
      <c r="J10" s="237" t="n"/>
      <c r="K10" s="237" t="n"/>
      <c r="L10" s="237" t="n"/>
      <c r="M10" s="237" t="n"/>
      <c r="N10" s="237" t="n"/>
      <c r="O10" s="237" t="n"/>
      <c r="P10" s="237" t="n"/>
      <c r="Q10" s="237" t="n"/>
      <c r="R10" s="237" t="n"/>
      <c r="S10" s="191" t="n"/>
    </row>
    <row r="11">
      <c r="B11" s="257" t="n"/>
      <c r="C11" s="191" t="n"/>
      <c r="D11" s="255" t="n"/>
      <c r="E11" s="191" t="n"/>
      <c r="F11" s="261" t="n"/>
      <c r="G11" s="237" t="n"/>
      <c r="H11" s="237" t="n"/>
      <c r="I11" s="237" t="n"/>
      <c r="J11" s="237" t="n"/>
      <c r="K11" s="237" t="n"/>
      <c r="L11" s="237" t="n"/>
      <c r="M11" s="237" t="n"/>
      <c r="N11" s="237" t="n"/>
      <c r="O11" s="237" t="n"/>
      <c r="P11" s="237" t="n"/>
      <c r="Q11" s="237" t="n"/>
      <c r="R11" s="237" t="n"/>
      <c r="S11" s="191" t="n"/>
    </row>
    <row r="12">
      <c r="B12" s="257" t="n"/>
      <c r="C12" s="191" t="n"/>
      <c r="D12" s="255" t="n"/>
      <c r="E12" s="191" t="n"/>
      <c r="F12" s="261" t="n"/>
      <c r="G12" s="237" t="n"/>
      <c r="H12" s="237" t="n"/>
      <c r="I12" s="237" t="n"/>
      <c r="J12" s="237" t="n"/>
      <c r="K12" s="237" t="n"/>
      <c r="L12" s="237" t="n"/>
      <c r="M12" s="237" t="n"/>
      <c r="N12" s="237" t="n"/>
      <c r="O12" s="237" t="n"/>
      <c r="P12" s="237" t="n"/>
      <c r="Q12" s="237" t="n"/>
      <c r="R12" s="237" t="n"/>
      <c r="S12" s="191" t="n"/>
    </row>
    <row r="13">
      <c r="B13" s="257" t="n"/>
      <c r="C13" s="191" t="n"/>
      <c r="D13" s="255" t="n"/>
      <c r="E13" s="191" t="n"/>
      <c r="F13" s="261" t="n"/>
      <c r="G13" s="237" t="n"/>
      <c r="H13" s="237" t="n"/>
      <c r="I13" s="237" t="n"/>
      <c r="J13" s="237" t="n"/>
      <c r="K13" s="237" t="n"/>
      <c r="L13" s="237" t="n"/>
      <c r="M13" s="237" t="n"/>
      <c r="N13" s="237" t="n"/>
      <c r="O13" s="237" t="n"/>
      <c r="P13" s="237" t="n"/>
      <c r="Q13" s="237" t="n"/>
      <c r="R13" s="237" t="n"/>
      <c r="S13" s="191" t="n"/>
    </row>
    <row r="14">
      <c r="B14" s="257" t="n"/>
      <c r="C14" s="191" t="n"/>
      <c r="D14" s="255" t="n"/>
      <c r="E14" s="191" t="n"/>
      <c r="F14" s="261" t="n"/>
      <c r="G14" s="237" t="n"/>
      <c r="H14" s="237" t="n"/>
      <c r="I14" s="237" t="n"/>
      <c r="J14" s="237" t="n"/>
      <c r="K14" s="237" t="n"/>
      <c r="L14" s="237" t="n"/>
      <c r="M14" s="237" t="n"/>
      <c r="N14" s="237" t="n"/>
      <c r="O14" s="237" t="n"/>
      <c r="P14" s="237" t="n"/>
      <c r="Q14" s="237" t="n"/>
      <c r="R14" s="237" t="n"/>
      <c r="S14" s="191" t="n"/>
    </row>
    <row r="15">
      <c r="B15" s="256" t="n"/>
      <c r="C15" s="191" t="n"/>
      <c r="D15" s="255" t="n"/>
      <c r="E15" s="191" t="n"/>
      <c r="F15" s="261" t="n"/>
      <c r="G15" s="237" t="n"/>
      <c r="H15" s="237" t="n"/>
      <c r="I15" s="237" t="n"/>
      <c r="J15" s="237" t="n"/>
      <c r="K15" s="237" t="n"/>
      <c r="L15" s="237" t="n"/>
      <c r="M15" s="237" t="n"/>
      <c r="N15" s="237" t="n"/>
      <c r="O15" s="237" t="n"/>
      <c r="P15" s="237" t="n"/>
      <c r="Q15" s="237" t="n"/>
      <c r="R15" s="237" t="n"/>
      <c r="S15" s="191" t="n"/>
    </row>
    <row r="16">
      <c r="B16" s="256" t="n"/>
      <c r="C16" s="191" t="n"/>
      <c r="D16" s="255" t="n"/>
      <c r="E16" s="191" t="n"/>
      <c r="F16" s="261" t="n"/>
      <c r="G16" s="237" t="n"/>
      <c r="H16" s="237" t="n"/>
      <c r="I16" s="237" t="n"/>
      <c r="J16" s="237" t="n"/>
      <c r="K16" s="237" t="n"/>
      <c r="L16" s="237" t="n"/>
      <c r="M16" s="237" t="n"/>
      <c r="N16" s="237" t="n"/>
      <c r="O16" s="237" t="n"/>
      <c r="P16" s="237" t="n"/>
      <c r="Q16" s="237" t="n"/>
      <c r="R16" s="237" t="n"/>
      <c r="S16" s="191" t="n"/>
    </row>
    <row r="17">
      <c r="B17" s="256" t="n"/>
      <c r="C17" s="191" t="n"/>
      <c r="D17" s="255" t="n"/>
      <c r="E17" s="191" t="n"/>
      <c r="F17" s="261" t="n"/>
      <c r="G17" s="237" t="n"/>
      <c r="H17" s="237" t="n"/>
      <c r="I17" s="237" t="n"/>
      <c r="J17" s="237" t="n"/>
      <c r="K17" s="237" t="n"/>
      <c r="L17" s="237" t="n"/>
      <c r="M17" s="237" t="n"/>
      <c r="N17" s="237" t="n"/>
      <c r="O17" s="237" t="n"/>
      <c r="P17" s="237" t="n"/>
      <c r="Q17" s="237" t="n"/>
      <c r="R17" s="237" t="n"/>
      <c r="S17" s="191" t="n"/>
    </row>
    <row r="18">
      <c r="B18" s="256" t="n"/>
      <c r="C18" s="191" t="n"/>
      <c r="D18" s="255" t="n"/>
      <c r="E18" s="191" t="n"/>
      <c r="F18" s="261" t="n"/>
      <c r="G18" s="237" t="n"/>
      <c r="H18" s="237" t="n"/>
      <c r="I18" s="237" t="n"/>
      <c r="J18" s="237" t="n"/>
      <c r="K18" s="237" t="n"/>
      <c r="L18" s="237" t="n"/>
      <c r="M18" s="237" t="n"/>
      <c r="N18" s="237" t="n"/>
      <c r="O18" s="237" t="n"/>
      <c r="P18" s="237" t="n"/>
      <c r="Q18" s="237" t="n"/>
      <c r="R18" s="237" t="n"/>
      <c r="S18" s="191" t="n"/>
    </row>
    <row r="19">
      <c r="B19" s="256" t="n"/>
      <c r="C19" s="191" t="n"/>
      <c r="D19" s="255" t="n"/>
      <c r="E19" s="191" t="n"/>
      <c r="F19" s="261" t="n"/>
      <c r="G19" s="237" t="n"/>
      <c r="H19" s="237" t="n"/>
      <c r="I19" s="237" t="n"/>
      <c r="J19" s="237" t="n"/>
      <c r="K19" s="237" t="n"/>
      <c r="L19" s="237" t="n"/>
      <c r="M19" s="237" t="n"/>
      <c r="N19" s="237" t="n"/>
      <c r="O19" s="237" t="n"/>
      <c r="P19" s="237" t="n"/>
      <c r="Q19" s="237" t="n"/>
      <c r="R19" s="237" t="n"/>
      <c r="S19" s="191" t="n"/>
    </row>
    <row r="20">
      <c r="B20" s="256" t="n"/>
      <c r="C20" s="191" t="n"/>
      <c r="D20" s="255" t="n"/>
      <c r="E20" s="191" t="n"/>
      <c r="F20" s="261" t="n"/>
      <c r="G20" s="237" t="n"/>
      <c r="H20" s="237" t="n"/>
      <c r="I20" s="237" t="n"/>
      <c r="J20" s="237" t="n"/>
      <c r="K20" s="237" t="n"/>
      <c r="L20" s="237" t="n"/>
      <c r="M20" s="237" t="n"/>
      <c r="N20" s="237" t="n"/>
      <c r="O20" s="237" t="n"/>
      <c r="P20" s="237" t="n"/>
      <c r="Q20" s="237" t="n"/>
      <c r="R20" s="237" t="n"/>
      <c r="S20" s="191" t="n"/>
    </row>
    <row r="21">
      <c r="B21" s="256" t="n"/>
      <c r="C21" s="191" t="n"/>
      <c r="D21" s="255" t="n"/>
      <c r="E21" s="191" t="n"/>
      <c r="F21" s="261" t="n"/>
      <c r="G21" s="237" t="n"/>
      <c r="H21" s="237" t="n"/>
      <c r="I21" s="237" t="n"/>
      <c r="J21" s="237" t="n"/>
      <c r="K21" s="237" t="n"/>
      <c r="L21" s="237" t="n"/>
      <c r="M21" s="237" t="n"/>
      <c r="N21" s="237" t="n"/>
      <c r="O21" s="237" t="n"/>
      <c r="P21" s="237" t="n"/>
      <c r="Q21" s="237" t="n"/>
      <c r="R21" s="237" t="n"/>
      <c r="S21" s="191" t="n"/>
    </row>
    <row r="22">
      <c r="B22" s="256" t="n"/>
      <c r="C22" s="191" t="n"/>
      <c r="D22" s="255" t="n"/>
      <c r="E22" s="191" t="n"/>
      <c r="F22" s="261" t="n"/>
      <c r="G22" s="237" t="n"/>
      <c r="H22" s="237" t="n"/>
      <c r="I22" s="237" t="n"/>
      <c r="J22" s="237" t="n"/>
      <c r="K22" s="237" t="n"/>
      <c r="L22" s="237" t="n"/>
      <c r="M22" s="237" t="n"/>
      <c r="N22" s="237" t="n"/>
      <c r="O22" s="237" t="n"/>
      <c r="P22" s="237" t="n"/>
      <c r="Q22" s="237" t="n"/>
      <c r="R22" s="237" t="n"/>
      <c r="S22" s="191" t="n"/>
    </row>
    <row r="23">
      <c r="B23" s="256" t="n"/>
      <c r="C23" s="191" t="n"/>
      <c r="D23" s="255" t="n"/>
      <c r="E23" s="191" t="n"/>
      <c r="F23" s="261" t="n"/>
      <c r="G23" s="237" t="n"/>
      <c r="H23" s="237" t="n"/>
      <c r="I23" s="237" t="n"/>
      <c r="J23" s="237" t="n"/>
      <c r="K23" s="237" t="n"/>
      <c r="L23" s="237" t="n"/>
      <c r="M23" s="237" t="n"/>
      <c r="N23" s="237" t="n"/>
      <c r="O23" s="237" t="n"/>
      <c r="P23" s="237" t="n"/>
      <c r="Q23" s="237" t="n"/>
      <c r="R23" s="237" t="n"/>
      <c r="S23" s="191" t="n"/>
    </row>
    <row r="24">
      <c r="B24" s="256" t="n"/>
      <c r="C24" s="191" t="n"/>
      <c r="D24" s="255" t="n"/>
      <c r="E24" s="191" t="n"/>
      <c r="F24" s="261" t="n"/>
      <c r="G24" s="237" t="n"/>
      <c r="H24" s="237" t="n"/>
      <c r="I24" s="237" t="n"/>
      <c r="J24" s="237" t="n"/>
      <c r="K24" s="237" t="n"/>
      <c r="L24" s="237" t="n"/>
      <c r="M24" s="237" t="n"/>
      <c r="N24" s="237" t="n"/>
      <c r="O24" s="237" t="n"/>
      <c r="P24" s="237" t="n"/>
      <c r="Q24" s="237" t="n"/>
      <c r="R24" s="237" t="n"/>
      <c r="S24" s="191" t="n"/>
    </row>
    <row r="25">
      <c r="B25" s="256" t="n"/>
      <c r="C25" s="191" t="n"/>
      <c r="D25" s="255" t="n"/>
      <c r="E25" s="191" t="n"/>
      <c r="F25" s="261" t="n"/>
      <c r="G25" s="237" t="n"/>
      <c r="H25" s="237" t="n"/>
      <c r="I25" s="237" t="n"/>
      <c r="J25" s="237" t="n"/>
      <c r="K25" s="237" t="n"/>
      <c r="L25" s="237" t="n"/>
      <c r="M25" s="237" t="n"/>
      <c r="N25" s="237" t="n"/>
      <c r="O25" s="237" t="n"/>
      <c r="P25" s="237" t="n"/>
      <c r="Q25" s="237" t="n"/>
      <c r="R25" s="237" t="n"/>
      <c r="S25" s="191" t="n"/>
    </row>
    <row r="26">
      <c r="B26" s="256" t="n"/>
      <c r="C26" s="191" t="n"/>
      <c r="D26" s="255" t="n"/>
      <c r="E26" s="191" t="n"/>
      <c r="F26" s="261" t="n"/>
      <c r="G26" s="237" t="n"/>
      <c r="H26" s="237" t="n"/>
      <c r="I26" s="237" t="n"/>
      <c r="J26" s="237" t="n"/>
      <c r="K26" s="237" t="n"/>
      <c r="L26" s="237" t="n"/>
      <c r="M26" s="237" t="n"/>
      <c r="N26" s="237" t="n"/>
      <c r="O26" s="237" t="n"/>
      <c r="P26" s="237" t="n"/>
      <c r="Q26" s="237" t="n"/>
      <c r="R26" s="237" t="n"/>
      <c r="S26" s="191" t="n"/>
    </row>
    <row r="27" ht="19.5" customHeight="1" s="180" thickBot="1">
      <c r="B27" s="263" t="n"/>
      <c r="C27" s="264" t="n"/>
      <c r="D27" s="267" t="n"/>
      <c r="E27" s="264" t="n"/>
      <c r="F27" s="269" t="n"/>
      <c r="G27" s="251" t="n"/>
      <c r="H27" s="251" t="n"/>
      <c r="I27" s="251" t="n"/>
      <c r="J27" s="251" t="n"/>
      <c r="K27" s="251" t="n"/>
      <c r="L27" s="251" t="n"/>
      <c r="M27" s="251" t="n"/>
      <c r="N27" s="251" t="n"/>
      <c r="O27" s="251" t="n"/>
      <c r="P27" s="251" t="n"/>
      <c r="Q27" s="251" t="n"/>
      <c r="R27" s="251" t="n"/>
      <c r="S27" s="264" t="n"/>
    </row>
  </sheetData>
  <mergeCells count="76">
    <mergeCell ref="D20:E20"/>
    <mergeCell ref="B16:C16"/>
    <mergeCell ref="D10:E10"/>
    <mergeCell ref="B7:C7"/>
    <mergeCell ref="B25:C25"/>
    <mergeCell ref="B2:S2"/>
    <mergeCell ref="B3:C3"/>
    <mergeCell ref="F11:S11"/>
    <mergeCell ref="F4:S4"/>
    <mergeCell ref="D19:E19"/>
    <mergeCell ref="F16:S16"/>
    <mergeCell ref="F10:S10"/>
    <mergeCell ref="B22:C22"/>
    <mergeCell ref="D22:E22"/>
    <mergeCell ref="F25:S25"/>
    <mergeCell ref="F19:S19"/>
    <mergeCell ref="B27:C27"/>
    <mergeCell ref="B18:C18"/>
    <mergeCell ref="F6:S6"/>
    <mergeCell ref="D21:E21"/>
    <mergeCell ref="B12:C12"/>
    <mergeCell ref="D6:E6"/>
    <mergeCell ref="B21:C21"/>
    <mergeCell ref="F7:S7"/>
    <mergeCell ref="B11:C11"/>
    <mergeCell ref="F3:S3"/>
    <mergeCell ref="F21:S21"/>
    <mergeCell ref="D13:E13"/>
    <mergeCell ref="D11:E11"/>
    <mergeCell ref="D27:E27"/>
    <mergeCell ref="F24:S24"/>
    <mergeCell ref="F12:S12"/>
    <mergeCell ref="B23:C23"/>
    <mergeCell ref="F15:S15"/>
    <mergeCell ref="B14:C14"/>
    <mergeCell ref="F5:S5"/>
    <mergeCell ref="F20:S20"/>
    <mergeCell ref="F18:S18"/>
    <mergeCell ref="B17:C17"/>
    <mergeCell ref="D17:E17"/>
    <mergeCell ref="B8:C8"/>
    <mergeCell ref="B13:C13"/>
    <mergeCell ref="F8:S8"/>
    <mergeCell ref="F26:S26"/>
    <mergeCell ref="D16:E16"/>
    <mergeCell ref="F17:S17"/>
    <mergeCell ref="D7:E7"/>
    <mergeCell ref="B19:C19"/>
    <mergeCell ref="B10:C10"/>
    <mergeCell ref="D4:E4"/>
    <mergeCell ref="F23:S23"/>
    <mergeCell ref="D18:E18"/>
    <mergeCell ref="B9:C9"/>
    <mergeCell ref="D9:E9"/>
    <mergeCell ref="D3:E3"/>
    <mergeCell ref="F22:S22"/>
    <mergeCell ref="D12:E12"/>
    <mergeCell ref="D8:E8"/>
    <mergeCell ref="D25:E25"/>
    <mergeCell ref="F13:S13"/>
    <mergeCell ref="F27:S27"/>
    <mergeCell ref="B24:C24"/>
    <mergeCell ref="B6:C6"/>
    <mergeCell ref="F9:S9"/>
    <mergeCell ref="D24:E24"/>
    <mergeCell ref="B15:C15"/>
    <mergeCell ref="D15:E15"/>
    <mergeCell ref="B5:C5"/>
    <mergeCell ref="B20:C20"/>
    <mergeCell ref="D5:E5"/>
    <mergeCell ref="D23:E23"/>
    <mergeCell ref="D14:E14"/>
    <mergeCell ref="B26:C26"/>
    <mergeCell ref="D26:E26"/>
    <mergeCell ref="B4:C4"/>
    <mergeCell ref="F14:S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M30"/>
  <sheetViews>
    <sheetView workbookViewId="0">
      <selection activeCell="F28" sqref="F28"/>
    </sheetView>
  </sheetViews>
  <sheetFormatPr baseColWidth="10" defaultColWidth="8.83203125" defaultRowHeight="18"/>
  <cols>
    <col width="10.6640625" customWidth="1" style="180" min="1" max="1"/>
    <col width="17.33203125" customWidth="1" style="180" min="2" max="2"/>
    <col width="25.5" customWidth="1" style="180" min="3" max="3"/>
    <col width="10.83203125" customWidth="1" style="180" min="4" max="4"/>
    <col width="12.83203125" customWidth="1" style="180" min="5" max="5"/>
    <col width="10.1640625" customWidth="1" style="180" min="6" max="6"/>
    <col width="14.33203125" customWidth="1" style="180" min="9" max="9"/>
    <col width="21" customWidth="1" style="180" min="10" max="10"/>
    <col width="27.1640625" customWidth="1" style="180" min="11" max="11"/>
  </cols>
  <sheetData>
    <row r="1" ht="19.5" customHeight="1" s="180" thickBot="1">
      <c r="A1" s="133" t="inlineStr">
        <is>
          <t>購入日付</t>
        </is>
      </c>
      <c r="B1" s="134" t="inlineStr">
        <is>
          <t>名前</t>
        </is>
      </c>
      <c r="C1" s="134" t="inlineStr">
        <is>
          <t>注文商品</t>
        </is>
      </c>
      <c r="D1" s="135" t="inlineStr">
        <is>
          <t>取り置き</t>
        </is>
      </c>
      <c r="E1" s="135" t="inlineStr">
        <is>
          <t>お渡し　確認</t>
        </is>
      </c>
      <c r="I1" s="84" t="inlineStr">
        <is>
          <t>日付</t>
        </is>
      </c>
      <c r="J1" s="84" t="inlineStr">
        <is>
          <t>お客様氏名</t>
        </is>
      </c>
      <c r="K1" s="85" t="inlineStr">
        <is>
          <t>発送物</t>
        </is>
      </c>
      <c r="L1" s="275" t="inlineStr">
        <is>
          <t>発送担当者</t>
        </is>
      </c>
      <c r="M1" s="276" t="n"/>
    </row>
    <row r="2">
      <c r="A2" s="138" t="n"/>
      <c r="B2" s="136" t="n"/>
      <c r="C2" s="136" t="n"/>
      <c r="D2" s="137" t="n"/>
      <c r="E2" s="137" t="n"/>
      <c r="I2" s="88" t="inlineStr">
        <is>
          <t>(例)5月1日</t>
        </is>
      </c>
      <c r="J2" s="88" t="inlineStr">
        <is>
          <t>山田　太郎様</t>
        </is>
      </c>
      <c r="K2" s="90" t="inlineStr">
        <is>
          <t>REVI　クレンジング(1個)</t>
        </is>
      </c>
      <c r="L2" s="271" t="inlineStr">
        <is>
          <t>佐野</t>
        </is>
      </c>
      <c r="M2" s="221" t="n"/>
    </row>
    <row r="3">
      <c r="A3" s="139" t="n"/>
      <c r="B3" s="86" t="n"/>
      <c r="C3" s="128" t="n"/>
      <c r="D3" s="272" t="n"/>
      <c r="E3" s="272" t="n"/>
      <c r="I3" s="89" t="n"/>
      <c r="J3" s="89" t="n"/>
      <c r="K3" s="6" t="n"/>
      <c r="L3" s="273" t="n"/>
      <c r="M3" s="189" t="n"/>
    </row>
    <row r="4">
      <c r="A4" s="127" t="n"/>
      <c r="B4" s="128" t="n"/>
      <c r="C4" s="128" t="n"/>
      <c r="D4" s="130" t="n"/>
      <c r="E4" s="130" t="n"/>
      <c r="I4" s="89" t="n"/>
      <c r="J4" s="91" t="n"/>
      <c r="K4" s="6" t="n"/>
      <c r="L4" s="273" t="n"/>
      <c r="M4" s="189" t="n"/>
    </row>
    <row r="5">
      <c r="A5" s="127" t="n"/>
      <c r="B5" s="128" t="n"/>
      <c r="C5" s="128" t="n"/>
      <c r="D5" s="130" t="n"/>
      <c r="E5" s="130" t="n"/>
      <c r="I5" s="92" t="n"/>
      <c r="J5" s="91" t="n"/>
      <c r="K5" s="197" t="n"/>
      <c r="L5" s="272" t="n"/>
      <c r="M5" s="189" t="n"/>
    </row>
    <row r="6">
      <c r="A6" s="127" t="n"/>
      <c r="B6" s="128" t="n"/>
      <c r="C6" s="128" t="n"/>
      <c r="D6" s="130" t="n"/>
      <c r="E6" s="130" t="n"/>
      <c r="I6" s="92" t="n"/>
      <c r="J6" s="86" t="n"/>
      <c r="K6" s="86" t="n"/>
      <c r="L6" s="272" t="n"/>
      <c r="M6" s="189" t="n"/>
    </row>
    <row r="7">
      <c r="A7" s="127" t="n"/>
      <c r="B7" s="128" t="n"/>
      <c r="C7" s="128" t="n"/>
      <c r="D7" s="130" t="n"/>
      <c r="E7" s="130" t="n"/>
      <c r="I7" s="86" t="n"/>
      <c r="J7" s="86" t="n"/>
      <c r="K7" s="86" t="n"/>
      <c r="L7" s="272" t="n"/>
      <c r="M7" s="189" t="n"/>
    </row>
    <row r="8">
      <c r="A8" s="127" t="n"/>
      <c r="B8" s="128" t="n"/>
      <c r="C8" s="128" t="n"/>
      <c r="D8" s="130" t="n"/>
      <c r="E8" s="130" t="n"/>
      <c r="I8" s="86" t="n"/>
      <c r="J8" s="86" t="n"/>
      <c r="K8" s="86" t="n"/>
      <c r="L8" s="272" t="n"/>
      <c r="M8" s="189" t="n"/>
    </row>
    <row r="9">
      <c r="A9" s="127" t="n"/>
      <c r="B9" s="128" t="n"/>
      <c r="C9" s="128" t="n"/>
      <c r="D9" s="130" t="n"/>
      <c r="E9" s="130" t="n"/>
      <c r="I9" s="86" t="n"/>
      <c r="J9" s="86" t="n"/>
      <c r="K9" s="86" t="n"/>
      <c r="L9" s="272" t="n"/>
      <c r="M9" s="189" t="n"/>
    </row>
    <row r="10">
      <c r="A10" s="127" t="n"/>
      <c r="B10" s="128" t="n"/>
      <c r="C10" s="128" t="n"/>
      <c r="D10" s="130" t="n"/>
      <c r="E10" s="130" t="n"/>
      <c r="I10" s="86" t="n"/>
      <c r="J10" s="86" t="n"/>
      <c r="K10" s="86" t="n"/>
      <c r="L10" s="272" t="n"/>
      <c r="M10" s="189" t="n"/>
    </row>
    <row r="11">
      <c r="A11" s="127" t="n"/>
      <c r="B11" s="128" t="n"/>
      <c r="C11" s="128" t="n"/>
      <c r="D11" s="130" t="n"/>
      <c r="E11" s="130" t="n"/>
      <c r="I11" s="86" t="n"/>
      <c r="J11" s="86" t="n"/>
      <c r="K11" s="86" t="n"/>
      <c r="L11" s="272" t="n"/>
      <c r="M11" s="189" t="n"/>
    </row>
    <row r="12">
      <c r="A12" s="127" t="n"/>
      <c r="B12" s="128" t="n"/>
      <c r="C12" s="128" t="n"/>
      <c r="D12" s="130" t="n"/>
      <c r="E12" s="130" t="n"/>
      <c r="I12" s="86" t="n"/>
      <c r="J12" s="86" t="n"/>
      <c r="K12" s="86" t="n"/>
      <c r="L12" s="272" t="n"/>
      <c r="M12" s="189" t="n"/>
    </row>
    <row r="13">
      <c r="A13" s="127" t="n"/>
      <c r="B13" s="128" t="n"/>
      <c r="C13" s="128" t="n"/>
      <c r="D13" s="130" t="n"/>
      <c r="E13" s="130" t="n"/>
      <c r="I13" s="86" t="n"/>
      <c r="J13" s="86" t="n"/>
      <c r="K13" s="86" t="n"/>
      <c r="L13" s="272" t="n"/>
      <c r="M13" s="189" t="n"/>
    </row>
    <row r="14">
      <c r="A14" s="127" t="n"/>
      <c r="B14" s="128" t="n"/>
      <c r="C14" s="128" t="n"/>
      <c r="D14" s="130" t="n"/>
      <c r="E14" s="130" t="n"/>
      <c r="I14" s="86" t="n"/>
      <c r="J14" s="86" t="n"/>
      <c r="K14" s="86" t="n"/>
      <c r="L14" s="272" t="n"/>
      <c r="M14" s="189" t="n"/>
    </row>
    <row r="15">
      <c r="A15" s="127" t="n"/>
      <c r="B15" s="128" t="n"/>
      <c r="C15" s="128" t="n"/>
      <c r="D15" s="130" t="n"/>
      <c r="E15" s="130" t="n"/>
      <c r="I15" s="86" t="n"/>
      <c r="J15" s="86" t="n"/>
      <c r="K15" s="86" t="n"/>
      <c r="L15" s="272" t="n"/>
      <c r="M15" s="189" t="n"/>
    </row>
    <row r="16">
      <c r="A16" s="127" t="n"/>
      <c r="B16" s="128" t="n"/>
      <c r="C16" s="128" t="n"/>
      <c r="D16" s="130" t="n"/>
      <c r="E16" s="130" t="n"/>
      <c r="I16" s="86" t="n"/>
      <c r="J16" s="86" t="n"/>
      <c r="K16" s="86" t="n"/>
      <c r="L16" s="272" t="n"/>
      <c r="M16" s="189" t="n"/>
    </row>
    <row r="17">
      <c r="A17" s="127" t="n"/>
      <c r="B17" s="128" t="n"/>
      <c r="C17" s="128" t="n"/>
      <c r="D17" s="130" t="n"/>
      <c r="E17" s="130" t="n"/>
      <c r="I17" s="86" t="n"/>
      <c r="J17" s="86" t="n"/>
      <c r="K17" s="86" t="n"/>
      <c r="L17" s="272" t="n"/>
      <c r="M17" s="189" t="n"/>
    </row>
    <row r="18">
      <c r="A18" s="127" t="n"/>
      <c r="B18" s="128" t="n"/>
      <c r="C18" s="128" t="n"/>
      <c r="D18" s="130" t="n"/>
      <c r="E18" s="130" t="n"/>
      <c r="I18" s="86" t="n"/>
      <c r="J18" s="86" t="n"/>
      <c r="K18" s="86" t="n"/>
      <c r="L18" s="272" t="n"/>
      <c r="M18" s="189" t="n"/>
    </row>
    <row r="19">
      <c r="A19" s="127" t="n"/>
      <c r="B19" s="128" t="n"/>
      <c r="C19" s="128" t="n"/>
      <c r="D19" s="130" t="n"/>
      <c r="E19" s="130" t="n"/>
      <c r="I19" s="86" t="n"/>
      <c r="J19" s="86" t="n"/>
      <c r="K19" s="86" t="n"/>
      <c r="L19" s="272" t="n"/>
      <c r="M19" s="189" t="n"/>
    </row>
    <row r="20">
      <c r="A20" s="127" t="n"/>
      <c r="B20" s="128" t="n"/>
      <c r="C20" s="128" t="n"/>
      <c r="D20" s="130" t="n"/>
      <c r="E20" s="130" t="n"/>
      <c r="I20" s="86" t="n"/>
      <c r="J20" s="86" t="n"/>
      <c r="K20" s="86" t="n"/>
      <c r="L20" s="272" t="n"/>
      <c r="M20" s="189" t="n"/>
    </row>
    <row r="21">
      <c r="A21" s="127" t="n"/>
      <c r="B21" s="128" t="n"/>
      <c r="C21" s="128" t="n"/>
      <c r="D21" s="130" t="n"/>
      <c r="E21" s="130" t="n"/>
      <c r="I21" s="86" t="n"/>
      <c r="J21" s="86" t="n"/>
      <c r="K21" s="86" t="n"/>
      <c r="L21" s="272" t="n"/>
      <c r="M21" s="189" t="n"/>
    </row>
    <row r="22">
      <c r="A22" s="127" t="n"/>
      <c r="B22" s="128" t="n"/>
      <c r="C22" s="128" t="n"/>
      <c r="D22" s="130" t="n"/>
      <c r="E22" s="130" t="n"/>
      <c r="I22" s="86" t="n"/>
      <c r="J22" s="86" t="n"/>
      <c r="K22" s="86" t="n"/>
      <c r="L22" s="272" t="n"/>
      <c r="M22" s="189" t="n"/>
    </row>
    <row r="23">
      <c r="A23" s="127" t="n"/>
      <c r="B23" s="128" t="n"/>
      <c r="C23" s="128" t="n"/>
      <c r="D23" s="130" t="n"/>
      <c r="E23" s="130" t="n"/>
      <c r="I23" s="86" t="n"/>
      <c r="J23" s="86" t="n"/>
      <c r="K23" s="86" t="n"/>
      <c r="L23" s="272" t="n"/>
      <c r="M23" s="189" t="n"/>
    </row>
    <row r="24">
      <c r="A24" s="127" t="n"/>
      <c r="B24" s="128" t="n"/>
      <c r="C24" s="128" t="n"/>
      <c r="D24" s="130" t="n"/>
      <c r="E24" s="130" t="n"/>
      <c r="I24" s="86" t="n"/>
      <c r="J24" s="86" t="n"/>
      <c r="K24" s="86" t="n"/>
      <c r="L24" s="272" t="n"/>
      <c r="M24" s="189" t="n"/>
    </row>
    <row r="25">
      <c r="A25" s="127" t="n"/>
      <c r="B25" s="128" t="n"/>
      <c r="C25" s="128" t="n"/>
      <c r="D25" s="130" t="n"/>
      <c r="E25" s="130" t="n"/>
      <c r="I25" s="86" t="n"/>
      <c r="J25" s="86" t="n"/>
      <c r="K25" s="86" t="n"/>
      <c r="L25" s="272" t="n"/>
      <c r="M25" s="189" t="n"/>
    </row>
    <row r="26">
      <c r="A26" s="127" t="n"/>
      <c r="B26" s="128" t="n"/>
      <c r="C26" s="128" t="n"/>
      <c r="D26" s="130" t="n"/>
      <c r="E26" s="130" t="n"/>
      <c r="I26" s="86" t="n"/>
      <c r="J26" s="86" t="n"/>
      <c r="K26" s="86" t="n"/>
      <c r="L26" s="272" t="n"/>
      <c r="M26" s="189" t="n"/>
    </row>
    <row r="27">
      <c r="A27" s="127" t="n"/>
      <c r="B27" s="128" t="n"/>
      <c r="C27" s="128" t="n"/>
      <c r="D27" s="130" t="n"/>
      <c r="E27" s="130" t="n"/>
      <c r="I27" s="86" t="n"/>
      <c r="J27" s="86" t="n"/>
      <c r="K27" s="86" t="n"/>
      <c r="L27" s="272" t="n"/>
      <c r="M27" s="189" t="n"/>
    </row>
    <row r="28">
      <c r="A28" s="127" t="n"/>
      <c r="B28" s="128" t="n"/>
      <c r="C28" s="128" t="n"/>
      <c r="D28" s="130" t="n"/>
      <c r="E28" s="130" t="n"/>
      <c r="I28" s="86" t="n"/>
      <c r="J28" s="86" t="n"/>
      <c r="K28" s="86" t="n"/>
      <c r="L28" s="272" t="n"/>
      <c r="M28" s="189" t="n"/>
    </row>
    <row r="29">
      <c r="A29" s="127" t="n"/>
      <c r="B29" s="132" t="n"/>
      <c r="C29" s="128" t="n"/>
      <c r="D29" s="130" t="n"/>
      <c r="E29" s="130" t="n"/>
      <c r="I29" s="86" t="n"/>
      <c r="J29" s="86" t="n"/>
      <c r="K29" s="86" t="n"/>
      <c r="L29" s="272" t="n"/>
      <c r="M29" s="189" t="n"/>
    </row>
    <row r="30" ht="19.5" customHeight="1" s="180" thickBot="1">
      <c r="A30" s="129" t="n"/>
      <c r="B30" s="129" t="n"/>
      <c r="C30" s="129" t="n"/>
      <c r="D30" s="131" t="n"/>
      <c r="E30" s="131" t="n"/>
      <c r="I30" s="87" t="n"/>
      <c r="J30" s="87" t="n"/>
      <c r="K30" s="87" t="n"/>
      <c r="L30" s="274" t="n"/>
      <c r="M30" s="249" t="n"/>
    </row>
  </sheetData>
  <mergeCells count="30">
    <mergeCell ref="L2:M2"/>
    <mergeCell ref="L17:M17"/>
    <mergeCell ref="L7:M7"/>
    <mergeCell ref="L16:M16"/>
    <mergeCell ref="L19:M19"/>
    <mergeCell ref="L28:M28"/>
    <mergeCell ref="L13:M13"/>
    <mergeCell ref="L3:M3"/>
    <mergeCell ref="L12:M12"/>
    <mergeCell ref="L24:M24"/>
    <mergeCell ref="L18:M18"/>
    <mergeCell ref="L15:M15"/>
    <mergeCell ref="L5:M5"/>
    <mergeCell ref="L23:M23"/>
    <mergeCell ref="L8:M8"/>
    <mergeCell ref="L14:M14"/>
    <mergeCell ref="L30:M30"/>
    <mergeCell ref="L26:M26"/>
    <mergeCell ref="L29:M29"/>
    <mergeCell ref="L4:M4"/>
    <mergeCell ref="L20:M20"/>
    <mergeCell ref="L10:M10"/>
    <mergeCell ref="L1:M1"/>
    <mergeCell ref="L25:M25"/>
    <mergeCell ref="L22:M22"/>
    <mergeCell ref="L9:M9"/>
    <mergeCell ref="L21:M21"/>
    <mergeCell ref="L6:M6"/>
    <mergeCell ref="L11:M11"/>
    <mergeCell ref="L27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2019-02-02T11:52:29Z</dcterms:created>
  <dcterms:modified xsi:type="dcterms:W3CDTF">2025-10-27T13:52:36Z</dcterms:modified>
  <cp:lastModifiedBy>YOSHIBA, Akinori</cp:lastModifiedBy>
  <cp:lastPrinted>2022-05-27T09:02:21Z</cp:lastPrinted>
</cp:coreProperties>
</file>