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375" yWindow="660" windowWidth="20715" windowHeight="14370"/>
  </bookViews>
  <sheets>
    <sheet sheetId="1" name="総合売上" state="visible" r:id="rId4"/>
    <sheet sheetId="2" name="現金売上" state="visible" r:id="rId5"/>
    <sheet sheetId="3" name="カード売上" state="visible" r:id="rId6"/>
    <sheet sheetId="4" name="振込売上" state="visible" r:id="rId7"/>
    <sheet sheetId="5" name="レジ金" state="visible" r:id="rId8"/>
    <sheet sheetId="6" name="社販リスト" state="visible" r:id="rId9"/>
    <sheet sheetId="8" name="取り置き・発送" state="visible" r:id="rId10"/>
  </sheets>
  <definedNames>
    <definedName name="_xlnm._FilterDatabase">'総合売上'!$A$13:$V$274</definedName>
  </definedNames>
  <calcPr calcId="171027"/>
</workbook>
</file>

<file path=xl/sharedStrings.xml><?xml version="1.0" encoding="utf-8"?>
<sst xmlns="http://schemas.openxmlformats.org/spreadsheetml/2006/main" count="177" uniqueCount="101">
  <si>
    <t>総売上高</t>
  </si>
  <si>
    <t>理論単価</t>
  </si>
  <si>
    <t>総売上目標</t>
  </si>
  <si>
    <t>目標まで</t>
  </si>
  <si>
    <t>スタッフ</t>
  </si>
  <si>
    <t>売上</t>
  </si>
  <si>
    <t>人数</t>
  </si>
  <si>
    <t>新規</t>
  </si>
  <si>
    <t>獲得</t>
  </si>
  <si>
    <t>体験</t>
  </si>
  <si>
    <t>継続</t>
  </si>
  <si>
    <t>終了</t>
  </si>
  <si>
    <t>一括</t>
  </si>
  <si>
    <t>指名</t>
  </si>
  <si>
    <t>メンズ</t>
  </si>
  <si>
    <t>オプション</t>
  </si>
  <si>
    <t>社販</t>
  </si>
  <si>
    <t>佐野</t>
  </si>
  <si>
    <t>現金</t>
  </si>
  <si>
    <t>予約経緯</t>
  </si>
  <si>
    <t>予約内容</t>
  </si>
  <si>
    <t>イベント</t>
  </si>
  <si>
    <t>星野</t>
  </si>
  <si>
    <t>HP-B</t>
  </si>
  <si>
    <t>コルギ</t>
  </si>
  <si>
    <t>カード</t>
  </si>
  <si>
    <t>ミニモ</t>
  </si>
  <si>
    <t>ハーブ</t>
  </si>
  <si>
    <t>IＧ</t>
  </si>
  <si>
    <t>当日</t>
  </si>
  <si>
    <t>振込</t>
  </si>
  <si>
    <t>TEL</t>
  </si>
  <si>
    <t>再来</t>
  </si>
  <si>
    <t>合計</t>
  </si>
  <si>
    <t>紹介</t>
  </si>
  <si>
    <t>獲得率</t>
  </si>
  <si>
    <t>日付</t>
  </si>
  <si>
    <t>お客様</t>
  </si>
  <si>
    <t>担当</t>
  </si>
  <si>
    <t>来店経緯</t>
  </si>
  <si>
    <t>結果</t>
  </si>
  <si>
    <t>残り回数</t>
  </si>
  <si>
    <t>残金額</t>
  </si>
  <si>
    <t>総合売上</t>
  </si>
  <si>
    <t>支払い</t>
  </si>
  <si>
    <t>HP-Bポイント</t>
  </si>
  <si>
    <t>内容</t>
  </si>
  <si>
    <t>OP</t>
  </si>
  <si>
    <t>1月17日</t>
  </si>
  <si>
    <t>前田 哲治</t>
  </si>
  <si>
    <t>佐野 智里</t>
  </si>
  <si>
    <t>0回目</t>
  </si>
  <si>
    <t>1月19日</t>
  </si>
  <si>
    <t>田中 なお子</t>
  </si>
  <si>
    <t>吉羽 顕功</t>
  </si>
  <si>
    <t>7回目</t>
  </si>
  <si>
    <t>MFIＰ</t>
  </si>
  <si>
    <t>備考</t>
  </si>
  <si>
    <t>前金</t>
  </si>
  <si>
    <t>都度</t>
  </si>
  <si>
    <t>回数券</t>
  </si>
  <si>
    <t>物販</t>
  </si>
  <si>
    <t xml:space="preserve">　</t>
  </si>
  <si>
    <t>レジ金 (常時)</t>
  </si>
  <si>
    <t>マイナス</t>
  </si>
  <si>
    <t>22025/9/1</t>
  </si>
  <si>
    <t>円</t>
  </si>
  <si>
    <t>枚</t>
  </si>
  <si>
    <t>22025/9/3</t>
  </si>
  <si>
    <t>22025/9/4</t>
  </si>
  <si>
    <t>22025/9/5</t>
  </si>
  <si>
    <t>22025/9/6</t>
  </si>
  <si>
    <t>22025/9/7</t>
  </si>
  <si>
    <t>22025/9/8</t>
  </si>
  <si>
    <t>22025/9/9</t>
  </si>
  <si>
    <t>全合計</t>
  </si>
  <si>
    <t>22025/9/10</t>
  </si>
  <si>
    <t>レジ金 (集計)</t>
  </si>
  <si>
    <t>22025/9/11</t>
  </si>
  <si>
    <t>22025/9/12</t>
  </si>
  <si>
    <t>22025/9/13</t>
  </si>
  <si>
    <t>22025/9/14</t>
  </si>
  <si>
    <t>22025/9/15</t>
  </si>
  <si>
    <t>22025/9/16</t>
  </si>
  <si>
    <t xml:space="preserve">　　</t>
  </si>
  <si>
    <t>社販リスト</t>
  </si>
  <si>
    <t>名前</t>
  </si>
  <si>
    <t>商品名</t>
  </si>
  <si>
    <t>(例)3/1</t>
  </si>
  <si>
    <t>中村</t>
  </si>
  <si>
    <t>炭酸ガスパック(2枚)、プレップミスト(1本)、REVI洗顔(1個)、REVIホワイト美人(1箱)、REVIプレシャスワンシステムマスク(1枚)</t>
  </si>
  <si>
    <t>購入日付</t>
  </si>
  <si>
    <t>注文商品</t>
  </si>
  <si>
    <t>取り置き</t>
  </si>
  <si>
    <t>お渡し　確認</t>
  </si>
  <si>
    <t>お客様氏名</t>
  </si>
  <si>
    <t>発送物</t>
  </si>
  <si>
    <t>発送担当者</t>
  </si>
  <si>
    <t>(例)5月1日</t>
  </si>
  <si>
    <t>山田　太郎様</t>
  </si>
  <si>
    <t>REVI　クレンジング(1個)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</si>
</sst>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6" x14ac:knownFonts="1">
    <font>
      <color theme="1"/>
      <family val="2"/>
      <scheme val="minor"/>
      <sz val="11"/>
      <name val="Calibri"/>
    </font>
    <font>
      <charset val="128"/>
      <color theme="1"/>
      <family val="3"/>
      <scheme val="minor"/>
      <sz val="11"/>
      <name val="游ゴシック"/>
    </font>
    <font>
      <b/>
      <charset val="128"/>
      <color theme="1"/>
      <family val="3"/>
      <scheme val="minor"/>
      <sz val="16"/>
      <name val="游ゴシック"/>
    </font>
    <font>
      <b/>
      <charset val="128"/>
      <color theme="1"/>
      <family val="3"/>
      <scheme val="minor"/>
      <sz val="11"/>
      <name val="游ゴシック"/>
    </font>
    <font>
      <b/>
      <charset val="128"/>
      <color theme="1"/>
      <family val="3"/>
      <scheme val="minor"/>
      <sz val="14"/>
      <name val="游ゴシック"/>
    </font>
    <font>
      <charset val="128"/>
      <color theme="1"/>
      <family val="3"/>
      <scheme val="minor"/>
      <sz val="20"/>
      <name val="游ゴシック"/>
    </font>
    <font>
      <charset val="128"/>
      <color theme="1"/>
      <family val="3"/>
      <scheme val="minor"/>
      <sz val="18"/>
      <name val="游ゴシック"/>
    </font>
    <font>
      <charset val="128"/>
      <color theme="1"/>
      <family val="3"/>
      <scheme val="minor"/>
      <sz val="16"/>
      <name val="游ゴシック"/>
    </font>
    <font>
      <b/>
      <charset val="128"/>
      <color rgb="FFFF0000"/>
      <family val="3"/>
      <scheme val="minor"/>
      <sz val="14"/>
      <name val="游ゴシック"/>
    </font>
    <font>
      <charset val="128"/>
      <color theme="1"/>
      <family val="3"/>
      <scheme val="minor"/>
      <sz val="14"/>
      <name val="游ゴシック"/>
    </font>
    <font>
      <b/>
      <charset val="128"/>
      <family val="3"/>
      <scheme val="minor"/>
      <sz val="14"/>
      <name val="游ゴシック"/>
    </font>
    <font>
      <b/>
      <charset val="128"/>
      <family val="3"/>
      <scheme val="minor"/>
      <sz val="16"/>
      <name val="游ゴシック"/>
    </font>
    <font>
      <b/>
      <charset val="128"/>
      <color theme="1"/>
      <family val="3"/>
      <scheme val="minor"/>
      <sz val="12"/>
      <name val="游ゴシック"/>
    </font>
    <font>
      <b/>
      <charset val="128"/>
      <family val="3"/>
      <scheme val="minor"/>
      <sz val="12"/>
      <name val="游ゴシック"/>
    </font>
    <font>
      <b/>
      <charset val="128"/>
      <color theme="0"/>
      <family val="3"/>
      <scheme val="minor"/>
      <sz val="14"/>
      <name val="游ゴシック"/>
    </font>
    <font>
      <b/>
      <charset val="128"/>
      <color rgb="FFFF0000"/>
      <family val="3"/>
      <scheme val="minor"/>
      <sz val="12"/>
      <name val="游ゴシック"/>
    </font>
    <font>
      <charset val="128"/>
      <color theme="1"/>
      <family val="2"/>
      <scheme val="minor"/>
      <sz val="11"/>
      <name val="游ゴシック"/>
    </font>
    <font>
      <charset val="128"/>
      <family val="3"/>
      <scheme val="minor"/>
      <sz val="11"/>
      <name val="游ゴシック"/>
    </font>
    <font>
      <charset val="128"/>
      <color rgb="FFFF3300"/>
      <family val="3"/>
      <scheme val="minor"/>
      <sz val="11"/>
      <name val="游ゴシック"/>
    </font>
    <font>
      <charset val="128"/>
      <color rgb="FFFF0000"/>
      <family val="3"/>
      <scheme val="minor"/>
      <sz val="11"/>
      <name val="游ゴシック"/>
    </font>
    <font>
      <charset val="128"/>
      <color rgb="FF9C5700"/>
      <family val="2"/>
      <scheme val="minor"/>
      <sz val="11"/>
      <name val="游ゴシック"/>
    </font>
    <font>
      <charset val="128"/>
      <family val="3"/>
      <sz val="11"/>
      <name val="游ゴシック"/>
    </font>
    <font>
      <charset val="128"/>
      <color rgb="FF006100"/>
      <family val="2"/>
      <scheme val="minor"/>
      <sz val="11"/>
      <name val="游ゴシック"/>
    </font>
    <font>
      <charset val="128"/>
      <color theme="0"/>
      <family val="3"/>
      <scheme val="minor"/>
      <sz val="11"/>
      <name val="游ゴシック"/>
    </font>
    <font>
      <charset val="128"/>
      <color theme="1"/>
      <family val="3"/>
      <scheme val="major"/>
      <sz val="11"/>
      <name val="游ゴシック Light"/>
    </font>
    <font>
      <charset val="128"/>
      <family val="3"/>
      <scheme val="major"/>
      <sz val="11"/>
      <name val="游ゴシック Light"/>
    </font>
    <font>
      <charset val="128"/>
      <color theme="0"/>
      <family val="3"/>
      <scheme val="major"/>
      <sz val="11"/>
      <name val="游ゴシック Light"/>
    </font>
    <font>
      <charset val="128"/>
      <color rgb="FFFF0000"/>
      <family val="3"/>
      <scheme val="major"/>
      <sz val="11"/>
      <name val="游ゴシック Light"/>
    </font>
    <font>
      <charset val="128"/>
      <color theme="0"/>
      <family val="3"/>
      <sz val="11"/>
      <name val="HGPｺﾞｼｯｸE"/>
    </font>
    <font>
      <b/>
      <charset val="128"/>
      <color rgb="FF006100"/>
      <family val="3"/>
      <scheme val="minor"/>
      <sz val="11"/>
      <name val="游ゴシック"/>
    </font>
    <font>
      <b/>
      <charset val="128"/>
      <family val="3"/>
      <scheme val="minor"/>
      <sz val="11"/>
      <name val="游ゴシック"/>
    </font>
    <font>
      <b/>
      <charset val="128"/>
      <color rgb="FF9C0006"/>
      <family val="3"/>
      <scheme val="minor"/>
      <sz val="11"/>
      <name val="游ゴシック"/>
    </font>
    <font>
      <b/>
      <charset val="128"/>
      <color rgb="FFFF0000"/>
      <family val="3"/>
      <scheme val="minor"/>
      <sz val="11"/>
      <name val="游ゴシック"/>
    </font>
    <font>
      <charset val="128"/>
      <family val="2"/>
      <scheme val="minor"/>
      <sz val="11"/>
      <name val="游ゴシック"/>
    </font>
    <font>
      <b/>
      <charset val="128"/>
      <color theme="0"/>
      <family val="3"/>
      <scheme val="minor"/>
      <sz val="11"/>
      <name val="游ゴシック"/>
    </font>
    <font>
      <charset val="128"/>
      <color rgb="FFFF0000"/>
      <family val="2"/>
      <scheme val="minor"/>
      <sz val="11"/>
      <name val="游ゴシック"/>
    </font>
  </fonts>
  <fills count="25">
    <fill>
      <patternFill patternType="none"/>
    </fill>
    <fill>
      <patternFill patternType="gray125"/>
    </fill>
    <fill>
      <patternFill patternType="solid">
        <fgColor rgb="FFFF66FF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5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E4C9FF"/>
        <bgColor indexed="64"/>
      </patternFill>
    </fill>
    <fill>
      <patternFill patternType="solid">
        <fgColor theme="6" tint="0.7999816888943144"/>
        <bgColor indexed="64"/>
      </patternFill>
    </fill>
  </fills>
  <borders count="7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rgb="FFFF3300"/>
      </right>
      <top style="medium">
        <color indexed="64"/>
      </top>
      <bottom style="medium">
        <color indexed="64"/>
      </bottom>
      <diagonal/>
    </border>
    <border>
      <left style="thick">
        <color rgb="FFFF3300"/>
      </left>
      <right/>
      <top style="thick">
        <color rgb="FFFF3300"/>
      </top>
      <bottom/>
      <diagonal/>
    </border>
    <border>
      <left/>
      <right/>
      <top style="thick">
        <color rgb="FFFF33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rgb="FFFF3300"/>
      </top>
      <bottom style="medium">
        <color indexed="64"/>
      </bottom>
      <diagonal/>
    </border>
    <border>
      <left/>
      <right style="medium">
        <color indexed="64"/>
      </right>
      <top style="thick">
        <color rgb="FFFF33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8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38" fontId="5" fillId="0" borderId="7" xfId="0" applyNumberFormat="1" applyFont="1" applyBorder="1" applyAlignment="1">
      <alignment horizontal="center" vertical="center"/>
    </xf>
    <xf numFmtId="38" fontId="5" fillId="0" borderId="8" xfId="0" applyNumberFormat="1" applyFont="1" applyBorder="1" applyAlignment="1">
      <alignment horizontal="center" vertical="center"/>
    </xf>
    <xf numFmtId="38" fontId="5" fillId="0" borderId="1" xfId="0" applyNumberFormat="1" applyFont="1" applyBorder="1" applyAlignment="1">
      <alignment horizontal="center" vertical="center"/>
    </xf>
    <xf numFmtId="38" fontId="5" fillId="0" borderId="9" xfId="0" applyNumberFormat="1" applyFont="1" applyBorder="1" applyAlignment="1">
      <alignment horizontal="center" vertical="center"/>
    </xf>
    <xf numFmtId="38" fontId="6" fillId="0" borderId="10" xfId="0" applyNumberFormat="1" applyFont="1" applyBorder="1" applyAlignment="1">
      <alignment horizontal="center" vertical="center"/>
    </xf>
    <xf numFmtId="38" fontId="6" fillId="0" borderId="1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8" fontId="2" fillId="0" borderId="1" xfId="0" applyNumberFormat="1" applyFont="1" applyBorder="1" applyAlignment="1">
      <alignment horizontal="center" vertical="center"/>
    </xf>
    <xf numFmtId="38" fontId="2" fillId="0" borderId="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38" fontId="7" fillId="0" borderId="18" xfId="0" applyNumberFormat="1" applyFont="1" applyBorder="1" applyAlignment="1">
      <alignment horizontal="center" vertical="center"/>
    </xf>
    <xf numFmtId="0" fontId="4" fillId="10" borderId="13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4" fillId="12" borderId="20" xfId="0" applyFont="1" applyFill="1" applyBorder="1" applyAlignment="1">
      <alignment horizontal="center" vertical="center"/>
    </xf>
    <xf numFmtId="38" fontId="7" fillId="0" borderId="14" xfId="0" applyNumberFormat="1" applyFont="1" applyBorder="1" applyAlignment="1">
      <alignment horizontal="center" vertical="center"/>
    </xf>
    <xf numFmtId="0" fontId="3" fillId="10" borderId="21" xfId="0" applyFont="1" applyFill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4" fillId="11" borderId="21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4" fillId="12" borderId="24" xfId="0" applyFont="1" applyFill="1" applyBorder="1" applyAlignment="1">
      <alignment horizontal="center" vertical="center"/>
    </xf>
    <xf numFmtId="0" fontId="10" fillId="10" borderId="21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0" fillId="10" borderId="28" xfId="0" applyFont="1" applyFill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4" fillId="13" borderId="30" xfId="0" applyFont="1" applyFill="1" applyBorder="1" applyAlignment="1">
      <alignment horizontal="center" vertical="center"/>
    </xf>
    <xf numFmtId="9" fontId="2" fillId="0" borderId="3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38" fontId="7" fillId="0" borderId="12" xfId="0" applyNumberFormat="1" applyFont="1" applyBorder="1" applyAlignment="1">
      <alignment horizontal="center" vertical="center"/>
    </xf>
    <xf numFmtId="0" fontId="14" fillId="14" borderId="12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38" fontId="7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vertical="center"/>
    </xf>
    <xf numFmtId="9" fontId="2" fillId="0" borderId="32" xfId="0" applyNumberFormat="1" applyFont="1" applyBorder="1" applyAlignment="1">
      <alignment vertical="center"/>
    </xf>
    <xf numFmtId="0" fontId="1" fillId="0" borderId="0" xfId="0" applyFont="1" applyAlignment="1" applyProtection="1">
      <alignment vertical="center"/>
      <protection locked="0"/>
    </xf>
    <xf numFmtId="0" fontId="1" fillId="15" borderId="1" xfId="0" applyFont="1" applyFill="1" applyBorder="1" applyAlignment="1" applyProtection="1">
      <alignment horizontal="center" vertical="center"/>
      <protection locked="0"/>
    </xf>
    <xf numFmtId="0" fontId="1" fillId="15" borderId="2" xfId="0" applyFont="1" applyFill="1" applyBorder="1" applyAlignment="1" applyProtection="1">
      <alignment horizontal="center" vertical="center"/>
      <protection locked="0"/>
    </xf>
    <xf numFmtId="0" fontId="1" fillId="15" borderId="12" xfId="0" applyFont="1" applyFill="1" applyBorder="1" applyAlignment="1" applyProtection="1">
      <alignment horizontal="center" vertical="center"/>
      <protection locked="0"/>
    </xf>
    <xf numFmtId="0" fontId="1" fillId="15" borderId="33" xfId="0" applyFont="1" applyFill="1" applyBorder="1" applyAlignment="1" applyProtection="1">
      <alignment horizontal="center" vertical="center"/>
      <protection locked="0"/>
    </xf>
    <xf numFmtId="0" fontId="16" fillId="16" borderId="12" xfId="0" applyFont="1" applyFill="1" applyBorder="1" applyAlignment="1" applyProtection="1">
      <alignment horizontal="center" vertical="center"/>
      <protection locked="0"/>
    </xf>
    <xf numFmtId="0" fontId="16" fillId="15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4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17" borderId="36" xfId="0" applyFont="1" applyFill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2" fillId="18" borderId="36" xfId="0" applyFont="1" applyFill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38" fontId="17" fillId="0" borderId="38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2" xfId="0" applyFont="1" applyFill="1" applyBorder="1" applyAlignment="1">
      <alignment horizontal="center" vertical="center"/>
    </xf>
    <xf numFmtId="0" fontId="1" fillId="15" borderId="12" xfId="0" applyFont="1" applyFill="1" applyBorder="1" applyAlignment="1">
      <alignment horizontal="center" vertical="center"/>
    </xf>
    <xf numFmtId="0" fontId="17" fillId="19" borderId="41" xfId="0" applyFont="1" applyFill="1" applyBorder="1" applyAlignment="1">
      <alignment horizontal="center" vertical="center"/>
    </xf>
    <xf numFmtId="0" fontId="17" fillId="19" borderId="42" xfId="0" applyFont="1" applyFill="1" applyBorder="1" applyAlignment="1">
      <alignment horizontal="center" vertical="center"/>
    </xf>
    <xf numFmtId="0" fontId="17" fillId="19" borderId="43" xfId="0" applyFont="1" applyFill="1" applyBorder="1" applyAlignment="1">
      <alignment horizontal="center" vertical="center"/>
    </xf>
    <xf numFmtId="0" fontId="17" fillId="19" borderId="31" xfId="0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17" fillId="0" borderId="44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4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" fillId="20" borderId="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33" xfId="0" applyFont="1" applyFill="1" applyBorder="1" applyAlignment="1">
      <alignment horizontal="center" vertical="center"/>
    </xf>
    <xf numFmtId="0" fontId="1" fillId="15" borderId="41" xfId="0" applyFont="1" applyFill="1" applyBorder="1" applyAlignment="1">
      <alignment horizontal="center" vertical="center"/>
    </xf>
    <xf numFmtId="0" fontId="1" fillId="15" borderId="42" xfId="0" applyFont="1" applyFill="1" applyBorder="1" applyAlignment="1">
      <alignment horizontal="center" vertical="center"/>
    </xf>
    <xf numFmtId="0" fontId="1" fillId="15" borderId="43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23" fillId="20" borderId="33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24" fillId="15" borderId="1" xfId="0" applyFont="1" applyFill="1" applyBorder="1" applyAlignment="1">
      <alignment horizontal="center" vertical="center"/>
    </xf>
    <xf numFmtId="0" fontId="24" fillId="15" borderId="41" xfId="0" applyFont="1" applyFill="1" applyBorder="1" applyAlignment="1">
      <alignment horizontal="center" vertical="center"/>
    </xf>
    <xf numFmtId="0" fontId="24" fillId="15" borderId="42" xfId="0" applyFont="1" applyFill="1" applyBorder="1" applyAlignment="1">
      <alignment horizontal="center" vertical="center"/>
    </xf>
    <xf numFmtId="0" fontId="24" fillId="15" borderId="43" xfId="0" applyFont="1" applyFill="1" applyBorder="1" applyAlignment="1">
      <alignment horizontal="center" vertical="center"/>
    </xf>
    <xf numFmtId="0" fontId="25" fillId="19" borderId="43" xfId="0" applyFont="1" applyFill="1" applyBorder="1" applyAlignment="1">
      <alignment horizontal="center" vertical="center"/>
    </xf>
    <xf numFmtId="0" fontId="25" fillId="19" borderId="42" xfId="0" applyFont="1" applyFill="1" applyBorder="1" applyAlignment="1">
      <alignment horizontal="center" vertical="center"/>
    </xf>
    <xf numFmtId="0" fontId="25" fillId="19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0" borderId="36" xfId="0" applyFont="1" applyBorder="1" applyAlignment="1">
      <alignment horizontal="center" vertical="center"/>
    </xf>
    <xf numFmtId="0" fontId="25" fillId="0" borderId="3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48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52" xfId="0" applyFont="1" applyBorder="1" applyAlignment="1">
      <alignment horizontal="center" vertical="center"/>
    </xf>
    <xf numFmtId="0" fontId="25" fillId="0" borderId="36" xfId="0" applyFont="1" applyBorder="1" applyAlignment="1">
      <alignment horizontal="center" vertical="center"/>
    </xf>
    <xf numFmtId="0" fontId="25" fillId="0" borderId="40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58" xfId="0" applyFont="1" applyBorder="1" applyAlignment="1">
      <alignment horizontal="center" vertical="center"/>
    </xf>
    <xf numFmtId="0" fontId="25" fillId="0" borderId="58" xfId="0" applyFont="1" applyBorder="1" applyAlignment="1">
      <alignment horizontal="center" vertical="center"/>
    </xf>
    <xf numFmtId="0" fontId="26" fillId="20" borderId="1" xfId="0" applyFont="1" applyFill="1" applyBorder="1" applyAlignment="1">
      <alignment horizontal="center" vertical="center"/>
    </xf>
    <xf numFmtId="0" fontId="26" fillId="20" borderId="33" xfId="0" applyFont="1" applyFill="1" applyBorder="1" applyAlignment="1">
      <alignment horizontal="center" vertical="center"/>
    </xf>
    <xf numFmtId="0" fontId="26" fillId="20" borderId="32" xfId="0" applyFont="1" applyFill="1" applyBorder="1" applyAlignment="1">
      <alignment horizontal="center" vertical="center"/>
    </xf>
    <xf numFmtId="0" fontId="26" fillId="20" borderId="5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38" fontId="16" fillId="0" borderId="0" xfId="0" applyNumberFormat="1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28" fillId="20" borderId="0" xfId="0" applyFont="1" applyFill="1" applyAlignment="1">
      <alignment horizontal="center" vertical="center"/>
    </xf>
    <xf numFmtId="0" fontId="29" fillId="18" borderId="22" xfId="0" applyFont="1" applyFill="1" applyBorder="1" applyAlignment="1">
      <alignment horizontal="center" vertical="center"/>
    </xf>
    <xf numFmtId="38" fontId="30" fillId="21" borderId="50" xfId="0" applyNumberFormat="1" applyFont="1" applyFill="1" applyBorder="1" applyAlignment="1">
      <alignment horizontal="center" vertical="center"/>
    </xf>
    <xf numFmtId="38" fontId="31" fillId="22" borderId="50" xfId="0" applyNumberFormat="1" applyFont="1" applyFill="1" applyBorder="1" applyAlignment="1">
      <alignment horizontal="center" vertical="center"/>
    </xf>
    <xf numFmtId="0" fontId="32" fillId="20" borderId="0" xfId="0" applyFont="1" applyFill="1" applyAlignment="1">
      <alignment horizontal="center" vertical="center"/>
    </xf>
    <xf numFmtId="14" fontId="33" fillId="0" borderId="22" xfId="0" applyNumberFormat="1" applyFont="1" applyBorder="1" applyAlignment="1">
      <alignment horizontal="center" vertical="center"/>
    </xf>
    <xf numFmtId="38" fontId="33" fillId="0" borderId="48" xfId="0" applyNumberFormat="1" applyFont="1" applyBorder="1" applyAlignment="1">
      <alignment horizontal="right" vertical="center"/>
    </xf>
    <xf numFmtId="38" fontId="1" fillId="0" borderId="48" xfId="0" applyNumberFormat="1" applyFont="1" applyBorder="1" applyAlignment="1">
      <alignment horizontal="right" vertical="center"/>
    </xf>
    <xf numFmtId="0" fontId="16" fillId="19" borderId="48" xfId="0" applyFont="1" applyFill="1" applyBorder="1" applyAlignment="1">
      <alignment horizontal="center" vertical="center"/>
    </xf>
    <xf numFmtId="0" fontId="16" fillId="3" borderId="48" xfId="0" applyFont="1" applyFill="1" applyBorder="1" applyAlignment="1">
      <alignment horizontal="center" vertical="center"/>
    </xf>
    <xf numFmtId="0" fontId="16" fillId="4" borderId="48" xfId="0" applyFont="1" applyFill="1" applyBorder="1" applyAlignment="1">
      <alignment horizontal="center" vertical="center"/>
    </xf>
    <xf numFmtId="3" fontId="16" fillId="0" borderId="0" xfId="0" applyNumberFormat="1" applyFont="1" applyAlignment="1">
      <alignment vertical="center"/>
    </xf>
    <xf numFmtId="0" fontId="16" fillId="0" borderId="48" xfId="0" applyFont="1" applyBorder="1" applyAlignment="1">
      <alignment vertical="center"/>
    </xf>
    <xf numFmtId="0" fontId="17" fillId="0" borderId="36" xfId="0" applyFont="1" applyBorder="1" applyAlignment="1">
      <alignment horizontal="right" vertical="center"/>
    </xf>
    <xf numFmtId="0" fontId="16" fillId="0" borderId="48" xfId="0" applyFont="1" applyBorder="1" applyAlignment="1">
      <alignment horizontal="right" vertical="center"/>
    </xf>
    <xf numFmtId="0" fontId="34" fillId="20" borderId="1" xfId="0" applyFont="1" applyFill="1" applyBorder="1" applyAlignment="1">
      <alignment horizontal="center" vertical="center"/>
    </xf>
    <xf numFmtId="38" fontId="16" fillId="0" borderId="48" xfId="0" applyNumberFormat="1" applyFont="1" applyBorder="1" applyAlignment="1">
      <alignment horizontal="right" vertical="center"/>
    </xf>
    <xf numFmtId="38" fontId="30" fillId="0" borderId="48" xfId="0" applyNumberFormat="1" applyFont="1" applyBorder="1" applyAlignment="1">
      <alignment horizontal="right" vertical="center"/>
    </xf>
    <xf numFmtId="0" fontId="16" fillId="0" borderId="0" xfId="0" applyFont="1" applyAlignment="1">
      <alignment horizontal="left" vertical="center"/>
    </xf>
    <xf numFmtId="38" fontId="16" fillId="0" borderId="53" xfId="0" applyNumberFormat="1" applyFont="1" applyBorder="1" applyAlignment="1">
      <alignment horizontal="right" vertical="center"/>
    </xf>
    <xf numFmtId="0" fontId="16" fillId="23" borderId="1" xfId="0" applyFont="1" applyFill="1" applyBorder="1" applyAlignment="1">
      <alignment horizontal="center" vertical="center"/>
    </xf>
    <xf numFmtId="0" fontId="16" fillId="23" borderId="33" xfId="0" applyFont="1" applyFill="1" applyBorder="1" applyAlignment="1">
      <alignment horizontal="center" vertical="center"/>
    </xf>
    <xf numFmtId="0" fontId="16" fillId="23" borderId="2" xfId="0" applyFont="1" applyFill="1" applyBorder="1" applyAlignment="1">
      <alignment horizontal="center" vertical="center"/>
    </xf>
    <xf numFmtId="0" fontId="16" fillId="24" borderId="60" xfId="0" applyFont="1" applyFill="1" applyBorder="1" applyAlignment="1">
      <alignment horizontal="center" vertical="center"/>
    </xf>
    <xf numFmtId="0" fontId="16" fillId="24" borderId="61" xfId="0" applyFont="1" applyFill="1" applyBorder="1" applyAlignment="1">
      <alignment horizontal="center" vertical="center"/>
    </xf>
    <xf numFmtId="0" fontId="16" fillId="24" borderId="62" xfId="0" applyFont="1" applyFill="1" applyBorder="1" applyAlignment="1">
      <alignment horizontal="center" vertical="center"/>
    </xf>
    <xf numFmtId="0" fontId="16" fillId="24" borderId="63" xfId="0" applyFont="1" applyFill="1" applyBorder="1" applyAlignment="1">
      <alignment horizontal="center" vertical="center"/>
    </xf>
    <xf numFmtId="0" fontId="16" fillId="24" borderId="64" xfId="0" applyFont="1" applyFill="1" applyBorder="1" applyAlignment="1">
      <alignment horizontal="center" vertical="center"/>
    </xf>
    <xf numFmtId="0" fontId="35" fillId="0" borderId="39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48" xfId="0" applyFont="1" applyBorder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16" fillId="0" borderId="39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48" xfId="0" applyFont="1" applyBorder="1" applyAlignment="1">
      <alignment horizontal="left" vertical="center"/>
    </xf>
    <xf numFmtId="0" fontId="16" fillId="0" borderId="23" xfId="0" applyFont="1" applyBorder="1" applyAlignment="1">
      <alignment horizontal="left" vertical="center"/>
    </xf>
    <xf numFmtId="0" fontId="16" fillId="0" borderId="55" xfId="0" applyFont="1" applyBorder="1" applyAlignment="1">
      <alignment horizontal="center" vertical="center"/>
    </xf>
    <xf numFmtId="0" fontId="16" fillId="0" borderId="65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66" xfId="0" applyFont="1" applyBorder="1" applyAlignment="1">
      <alignment horizontal="left" vertical="center"/>
    </xf>
    <xf numFmtId="0" fontId="16" fillId="0" borderId="25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68" xfId="0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69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6" fillId="0" borderId="36" xfId="0" applyFont="1" applyBorder="1" applyAlignment="1">
      <alignment vertical="center"/>
    </xf>
    <xf numFmtId="0" fontId="16" fillId="0" borderId="35" xfId="0" applyFont="1" applyBorder="1" applyAlignment="1">
      <alignment horizontal="center" vertical="center"/>
    </xf>
    <xf numFmtId="0" fontId="35" fillId="0" borderId="36" xfId="0" applyFont="1" applyBorder="1" applyAlignment="1">
      <alignment horizontal="center" vertical="center"/>
    </xf>
    <xf numFmtId="0" fontId="19" fillId="0" borderId="35" xfId="0" applyFont="1" applyBorder="1" applyAlignment="1">
      <alignment horizontal="center" vertical="center"/>
    </xf>
    <xf numFmtId="0" fontId="16" fillId="0" borderId="39" xfId="0" applyFont="1" applyBorder="1" applyAlignment="1">
      <alignment vertical="center"/>
    </xf>
    <xf numFmtId="0" fontId="16" fillId="0" borderId="35" xfId="0" applyFont="1" applyBorder="1" applyAlignment="1">
      <alignment vertical="center"/>
    </xf>
    <xf numFmtId="0" fontId="16" fillId="0" borderId="40" xfId="0" applyFont="1" applyBorder="1" applyAlignment="1">
      <alignment horizontal="center" vertical="center"/>
    </xf>
    <xf numFmtId="0" fontId="16" fillId="0" borderId="37" xfId="0" applyFont="1" applyBorder="1" applyAlignment="1">
      <alignment vertical="center"/>
    </xf>
    <xf numFmtId="0" fontId="16" fillId="0" borderId="58" xfId="0" applyFont="1" applyBorder="1" applyAlignment="1">
      <alignment vertical="center"/>
    </xf>
    <xf numFmtId="0" fontId="16" fillId="0" borderId="56" xfId="0" applyFont="1" applyBorder="1" applyAlignment="1">
      <alignment vertical="center"/>
    </xf>
    <xf numFmtId="0" fontId="16" fillId="0" borderId="58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274"/>
  <sheetViews>
    <sheetView workbookViewId="0" zoomScale="80" zoomScaleNormal="80">
      <pane ySplit="13" topLeftCell="A14" activePane="bottomLeft" state="frozen"/>
      <selection pane="bottomLeft" activeCell="B9" sqref="B9"/>
    </sheetView>
  </sheetViews>
  <sheetFormatPr defaultRowHeight="18.75" outlineLevelRow="0" outlineLevelCol="0" x14ac:dyDescent="0.4" defaultColWidth="8.75" customHeight="1"/>
  <cols>
    <col min="1" max="1" width="8.25" style="1" customWidth="1"/>
    <col min="2" max="2" width="12.75" style="1" customWidth="1"/>
    <col min="3" max="3" width="9.625" style="1" customWidth="1"/>
    <col min="4" max="4" width="10.75" style="1" customWidth="1"/>
    <col min="5" max="5" width="9.625" style="1" customWidth="1"/>
    <col min="6" max="6" width="11.625" style="1" customWidth="1"/>
    <col min="7" max="7" width="10.625" style="1" customWidth="1"/>
    <col min="8" max="10" width="11.75" style="1" customWidth="1"/>
    <col min="11" max="11" width="10.125" style="1" customWidth="1"/>
    <col min="12" max="12" width="11.75" style="1" customWidth="1"/>
    <col min="13" max="13" width="11.25" style="1" customWidth="1"/>
    <col min="14" max="14" width="10.75" style="1" customWidth="1"/>
    <col min="15" max="15" width="10.5" style="1" customWidth="1"/>
    <col min="16" max="17" width="10.125" style="1" customWidth="1"/>
    <col min="18" max="18" width="11.75" style="1" customWidth="1"/>
    <col min="19" max="19" width="10.125" style="1" customWidth="1"/>
    <col min="20" max="21" width="10.75" style="1" customWidth="1"/>
    <col min="22" max="22" width="12" style="1" customWidth="1"/>
    <col min="23" max="24" width="12.25" style="1" customWidth="1"/>
    <col min="25" max="25" width="11.25" style="1" customWidth="1"/>
    <col min="26" max="16384" width="8.75" style="1" customWidth="1"/>
  </cols>
  <sheetData>
    <row r="1" ht="19.5" customHeight="1" x14ac:dyDescent="0.25"/>
    <row r="2" ht="30.6" customHeight="1" spans="1:25" x14ac:dyDescent="0.25">
      <c r="A2" s="2" t="s">
        <v>0</v>
      </c>
      <c r="B2" s="3"/>
      <c r="C2" s="2" t="s">
        <v>1</v>
      </c>
      <c r="D2" s="3"/>
      <c r="E2" s="4" t="s">
        <v>2</v>
      </c>
      <c r="F2" s="5"/>
      <c r="G2" s="6" t="s">
        <v>3</v>
      </c>
      <c r="H2" s="7"/>
      <c r="I2" s="8" t="s">
        <v>4</v>
      </c>
      <c r="J2" s="9"/>
      <c r="K2" s="10" t="s">
        <v>5</v>
      </c>
      <c r="L2" s="11"/>
      <c r="M2" s="12" t="s">
        <v>6</v>
      </c>
      <c r="N2" s="13" t="s">
        <v>7</v>
      </c>
      <c r="O2" s="13" t="s">
        <v>8</v>
      </c>
      <c r="P2" s="13" t="s">
        <v>9</v>
      </c>
      <c r="Q2" s="13" t="s">
        <v>10</v>
      </c>
      <c r="R2" s="13" t="s">
        <v>11</v>
      </c>
      <c r="S2" s="13" t="s">
        <v>12</v>
      </c>
      <c r="T2" s="14" t="s">
        <v>13</v>
      </c>
      <c r="U2" s="13" t="s">
        <v>14</v>
      </c>
      <c r="V2" s="13" t="s">
        <v>15</v>
      </c>
      <c r="W2" s="13" t="s">
        <v>16</v>
      </c>
      <c r="X2" s="15"/>
      <c r="Y2" s="16"/>
    </row>
    <row r="3" ht="31.15" customHeight="1" spans="1:25" x14ac:dyDescent="0.25">
      <c r="A3" s="17">
        <f>SUM(K14:K274)</f>
        <v>0</v>
      </c>
      <c r="B3" s="18"/>
      <c r="C3" s="17">
        <f>SUM(F14:F274)</f>
        <v>0</v>
      </c>
      <c r="D3" s="18"/>
      <c r="E3" s="19">
        <v>1000000</v>
      </c>
      <c r="F3" s="20"/>
      <c r="G3" s="21">
        <f>A3-E3</f>
        <v>-1000000</v>
      </c>
      <c r="H3" s="22"/>
      <c r="I3" s="23" t="s">
        <v>17</v>
      </c>
      <c r="J3" s="24"/>
      <c r="K3" s="25">
        <f>SUMIFS(K13:K273,E13:E273,"佐野")</f>
        <v>0</v>
      </c>
      <c r="L3" s="26"/>
      <c r="M3" s="23">
        <f>COUNTIF(E13:E273,"佐野")</f>
        <v>0</v>
      </c>
      <c r="N3" s="27">
        <f>COUNTIFS(E13:E273,"佐野",P13:P273,"1")</f>
        <v>0</v>
      </c>
      <c r="O3" s="27">
        <f>COUNTIFS(E14:E274,"佐野",H14:H274,"新規獲得")</f>
        <v>0</v>
      </c>
      <c r="P3" s="27">
        <f>COUNTIFS(E13:E273,"佐野",H13:H273,"体験")</f>
        <v>0</v>
      </c>
      <c r="Q3" s="27">
        <f>COUNTIFS(E13:E273,"佐野",H13:H273,"継続")</f>
        <v>0</v>
      </c>
      <c r="R3" s="27">
        <f>COUNTIFS(E13:E273,"佐野",H13:H273,"終了")</f>
        <v>0</v>
      </c>
      <c r="S3" s="27">
        <f>COUNTIFS(E13:E273,"佐野",Q13:Q273,"1")</f>
        <v>0</v>
      </c>
      <c r="T3" s="27">
        <f>COUNTIFS(E13:E273,"佐野",S13:S273,"1")</f>
        <v>0</v>
      </c>
      <c r="U3" s="27">
        <f>COUNTIFS(E13:E273,"佐野",R13:R273,"1")</f>
        <v>0</v>
      </c>
      <c r="V3" s="27"/>
      <c r="W3" s="27">
        <f>COUNTIFS(E13:E273,"佐野",H13:H273,"社販")</f>
        <v>0</v>
      </c>
      <c r="X3" s="28">
        <f>COUNTIFS(E14:E275,"佐野",T14:T275,1)</f>
        <v>0</v>
      </c>
      <c r="Y3" s="29"/>
    </row>
    <row r="4" ht="31.15" customHeight="1" spans="1:25" x14ac:dyDescent="0.25">
      <c r="A4" s="30" t="s">
        <v>18</v>
      </c>
      <c r="B4" s="31">
        <f>COUNTIF(L14:L275,"現金")</f>
        <v>0</v>
      </c>
      <c r="C4" s="32" t="s">
        <v>19</v>
      </c>
      <c r="D4" s="33"/>
      <c r="E4" s="32" t="s">
        <v>20</v>
      </c>
      <c r="F4" s="33"/>
      <c r="G4" s="34" t="s">
        <v>21</v>
      </c>
      <c r="H4" s="35"/>
      <c r="I4" s="23" t="s">
        <v>22</v>
      </c>
      <c r="J4" s="24"/>
      <c r="K4" s="25">
        <f>SUMIFS(K13:K273,E13:E273,"星野")</f>
        <v>0</v>
      </c>
      <c r="L4" s="26"/>
      <c r="M4" s="23">
        <f>COUNTIF(E13:E273,"星野")</f>
        <v>0</v>
      </c>
      <c r="N4" s="27">
        <f>COUNTIFS(E13:E273,"星野",P13:P273,"1")</f>
        <v>0</v>
      </c>
      <c r="O4" s="27">
        <f>COUNTIFS(E13:E273,"星野",H13:H273,"新規獲得")</f>
        <v>0</v>
      </c>
      <c r="P4" s="27">
        <f>COUNTIFS(E13:E273,"星野",H13:H273,"体験")</f>
        <v>0</v>
      </c>
      <c r="Q4" s="27">
        <f>COUNTIFS(E13:E273,"星野",H13:H273,"継続")</f>
        <v>0</v>
      </c>
      <c r="R4" s="27">
        <f>COUNTIFS(E13:E273,"星野",H13:H273,"終了")</f>
        <v>0</v>
      </c>
      <c r="S4" s="27">
        <f>COUNTIFS(E13:E273,"星野",Q13:Q273,"1")</f>
        <v>0</v>
      </c>
      <c r="T4" s="27">
        <f>COUNTIFS(E13:E273,"星野",S13:S273,"1")</f>
        <v>0</v>
      </c>
      <c r="U4" s="27">
        <f>COUNTIFS(E13:E273,"星野",R13:R273,"1")</f>
        <v>0</v>
      </c>
      <c r="V4" s="27"/>
      <c r="W4" s="27">
        <f>COUNTIFS(E13:E273,"星野",H13:H273,"社販")</f>
        <v>0</v>
      </c>
      <c r="X4" s="28">
        <f>COUNTIFS(E14:E276,"星野",T14:T276,1)</f>
        <v>0</v>
      </c>
      <c r="Y4" s="29"/>
    </row>
    <row r="5" ht="28.9" customHeight="1" spans="1:25" x14ac:dyDescent="0.25">
      <c r="A5" s="36" t="s">
        <v>5</v>
      </c>
      <c r="B5" s="37">
        <f>SUM(現金売上!H2:N113)</f>
        <v>0</v>
      </c>
      <c r="C5" s="38" t="s">
        <v>23</v>
      </c>
      <c r="D5" s="39">
        <f>COUNTIF(G14:G274,"HP-B")</f>
        <v>0</v>
      </c>
      <c r="E5" s="40" t="s">
        <v>24</v>
      </c>
      <c r="F5" s="41">
        <f>COUNTIF(N14:N274,"コルギ")</f>
        <v>0</v>
      </c>
      <c r="G5" s="42"/>
      <c r="H5" s="41">
        <f>COUNTIF(T14:T274,"1")</f>
        <v>0</v>
      </c>
      <c r="I5" s="23"/>
      <c r="J5" s="24"/>
      <c r="K5" s="25"/>
      <c r="L5" s="26"/>
      <c r="M5" s="23">
        <v>0</v>
      </c>
      <c r="N5" s="27">
        <f>COUNTIFS(E13:E273,"",P13:P273,"1")</f>
        <v>0</v>
      </c>
      <c r="O5" s="27">
        <f>COUNTIFS(E13:E273,"",H13:H273,"新規獲得")</f>
        <v>0</v>
      </c>
      <c r="P5" s="27">
        <f>COUNTIFS(E13:E273,"",H13:H273,"体験")</f>
        <v>0</v>
      </c>
      <c r="Q5" s="27">
        <f>COUNTIFS(E13:E273,"",H13:H273,"継続")</f>
        <v>0</v>
      </c>
      <c r="R5" s="27">
        <f>COUNTIFS(E13:E273,"",H13:H273,"終了")</f>
        <v>0</v>
      </c>
      <c r="S5" s="27">
        <f>COUNTIFS(E13:E273,"",Q13:Q273,"1")</f>
        <v>0</v>
      </c>
      <c r="T5" s="27">
        <v>0</v>
      </c>
      <c r="U5" s="27">
        <v>0</v>
      </c>
      <c r="V5" s="27"/>
      <c r="W5" s="27">
        <f>COUNTIFS(E13:E273,"星野",H13:H273,"社販")</f>
        <v>0</v>
      </c>
      <c r="X5" s="28">
        <f>COUNTIFS(E14:E277,"",T14:T277,1)</f>
        <v>0</v>
      </c>
      <c r="Y5" s="29"/>
    </row>
    <row r="6" ht="28.9" customHeight="1" spans="1:25" x14ac:dyDescent="0.25">
      <c r="A6" s="30" t="s">
        <v>25</v>
      </c>
      <c r="B6" s="43">
        <f>COUNTIF(L14:L274,"カード")</f>
        <v>0</v>
      </c>
      <c r="C6" s="44" t="s">
        <v>26</v>
      </c>
      <c r="D6" s="45">
        <f>COUNTIF(G14:G274,"ミニモ")</f>
        <v>0</v>
      </c>
      <c r="E6" s="46" t="s">
        <v>27</v>
      </c>
      <c r="F6" s="47">
        <f>COUNTIF(N14:N274,"ハーブ")</f>
        <v>0</v>
      </c>
      <c r="G6" s="48"/>
      <c r="H6" s="47">
        <f>COUNTIF(T14:T274,"2")</f>
        <v>0</v>
      </c>
      <c r="I6" s="23"/>
      <c r="J6" s="24"/>
      <c r="K6" s="25"/>
      <c r="L6" s="26"/>
      <c r="M6" s="23">
        <f>COUNTIF(E13:E273,"古賀")</f>
        <v>0</v>
      </c>
      <c r="N6" s="27">
        <f>COUNTIFS(E13:E273,"古賀",P13:P273,"1")</f>
        <v>0</v>
      </c>
      <c r="O6" s="27">
        <f>COUNTIFS(E13:E273,"古賀",H13:H273,"新規獲得")</f>
        <v>0</v>
      </c>
      <c r="P6" s="27">
        <f>COUNTIFS(E13:E273,"古賀",H13:H273,"体験")</f>
        <v>0</v>
      </c>
      <c r="Q6" s="27">
        <f>COUNTIFS(E13:E273,"古賀",H13:H273,"継続")</f>
        <v>0</v>
      </c>
      <c r="R6" s="27">
        <f>COUNTIFS(E13:E273,"古賀",H13:H273,"終了")</f>
        <v>0</v>
      </c>
      <c r="S6" s="27">
        <f>COUNTIFS(E13:E273,"古賀",Q13:Q273,"1")</f>
        <v>0</v>
      </c>
      <c r="T6" s="27">
        <f>COUNTIFS(E13:E273,"古賀",S13:S273,"1")</f>
        <v>0</v>
      </c>
      <c r="U6" s="27">
        <f>COUNTIFS(E13:E273,"古賀",R13:R273,"1")</f>
        <v>0</v>
      </c>
      <c r="V6" s="27"/>
      <c r="W6" s="27">
        <f>COUNTIFS(E13:E273,"古賀",H13:H273,"社販")</f>
        <v>0</v>
      </c>
      <c r="X6" s="28">
        <f>COUNTIFS(E14:E278,"古賀",T14:T278,1)</f>
        <v>0</v>
      </c>
      <c r="Y6" s="29"/>
    </row>
    <row r="7" ht="28.15" customHeight="1" spans="1:25" x14ac:dyDescent="0.25">
      <c r="A7" s="36" t="s">
        <v>5</v>
      </c>
      <c r="B7" s="37">
        <f>SUM(カード売上!H2:N64)</f>
        <v>0</v>
      </c>
      <c r="C7" s="49" t="s">
        <v>28</v>
      </c>
      <c r="D7" s="45">
        <f>COUNTIF(G14:G274,"インスタ")</f>
        <v>0</v>
      </c>
      <c r="E7" s="46" t="s">
        <v>29</v>
      </c>
      <c r="F7" s="47">
        <f>COUNTIF(N14:N274,"当日")</f>
        <v>0</v>
      </c>
      <c r="G7" s="48"/>
      <c r="H7" s="50">
        <f>COUNTIF(T14:T274,"3")</f>
        <v>0</v>
      </c>
      <c r="I7" s="23"/>
      <c r="J7" s="24"/>
      <c r="K7" s="25"/>
      <c r="L7" s="26"/>
      <c r="M7" s="23">
        <f>COUNTIF(E14:E274,"中村")</f>
        <v>0</v>
      </c>
      <c r="N7" s="27">
        <f>COUNTIFS(E14:E274,"中村",P14:P274,"1")</f>
        <v>0</v>
      </c>
      <c r="O7" s="27">
        <f>COUNTIFS(E14:E274,"中村",H14:H274,"新規獲得")</f>
        <v>0</v>
      </c>
      <c r="P7" s="27">
        <f>COUNTIFS(E14:E274,"中村",H14:H274,"体験")</f>
        <v>0</v>
      </c>
      <c r="Q7" s="27">
        <f>COUNTIFS(E14:E274,"中村",H14:H274,"継続")</f>
        <v>0</v>
      </c>
      <c r="R7" s="27">
        <f>COUNTIFS(E14:E274,"中村",H14:H274,"終了")</f>
        <v>0</v>
      </c>
      <c r="S7" s="27">
        <f>COUNTIFS(E14:E274,"中村",Q14:Q274,"1")</f>
        <v>0</v>
      </c>
      <c r="T7" s="27">
        <f>COUNTIFS(E14:E274,"中村",S14:S274,"1")</f>
        <v>0</v>
      </c>
      <c r="U7" s="27">
        <f>COUNTIFS(E14:E274,"中村",R14:R274,"1")</f>
        <v>0</v>
      </c>
      <c r="V7" s="27"/>
      <c r="W7" s="27">
        <v>0</v>
      </c>
      <c r="X7" s="28">
        <v>0</v>
      </c>
      <c r="Y7" s="29"/>
    </row>
    <row r="8" ht="28.15" customHeight="1" spans="1:25" x14ac:dyDescent="0.25">
      <c r="A8" s="30" t="s">
        <v>30</v>
      </c>
      <c r="B8" s="43">
        <f>COUNTIF(L14:L275,"振込")</f>
        <v>0</v>
      </c>
      <c r="C8" s="49" t="s">
        <v>31</v>
      </c>
      <c r="D8" s="45">
        <f>COUNTIF(G14:G274,"TEL")</f>
        <v>0</v>
      </c>
      <c r="E8" s="51" t="s">
        <v>32</v>
      </c>
      <c r="F8" s="52">
        <f>COUNTIF(N14:N274,"再来")</f>
        <v>0</v>
      </c>
      <c r="I8" s="23" t="s">
        <v>33</v>
      </c>
      <c r="J8" s="24"/>
      <c r="K8" s="25">
        <f>SUM(K1:L7)</f>
        <v>0</v>
      </c>
      <c r="L8" s="26"/>
      <c r="M8" s="23">
        <f>SUM(M1:M7)</f>
        <v>0</v>
      </c>
      <c r="N8" s="27">
        <f>SUM(N1:N7)</f>
        <v>0</v>
      </c>
      <c r="O8" s="27">
        <f>SUM(O1:O7)</f>
        <v>0</v>
      </c>
      <c r="P8" s="27">
        <f>SUM(P1:P7)</f>
        <v>0</v>
      </c>
      <c r="Q8" s="27">
        <f>SUM(Q1:Q7)</f>
        <v>0</v>
      </c>
      <c r="R8" s="27">
        <f>SUM(R1:R7)</f>
        <v>0</v>
      </c>
      <c r="S8" s="27">
        <f>SUM(S1:S7)</f>
        <v>0</v>
      </c>
      <c r="T8" s="27">
        <f>SUM(T1:T7)</f>
        <v>0</v>
      </c>
      <c r="U8" s="27">
        <f>SUM(U1:U7)</f>
        <v>0</v>
      </c>
      <c r="V8" s="27">
        <f>SUM(V1:V7)</f>
        <v>0</v>
      </c>
      <c r="W8" s="27">
        <f>SUM(W1:W7)</f>
        <v>0</v>
      </c>
      <c r="X8" s="53">
        <f>SUM(X1:Y7)</f>
        <v>0</v>
      </c>
      <c r="Y8" s="54"/>
    </row>
    <row r="9" ht="28.9" customHeight="1" spans="1:27" x14ac:dyDescent="0.25">
      <c r="A9" s="36" t="s">
        <v>5</v>
      </c>
      <c r="B9" s="37">
        <f>SUM(振込売上!G29)</f>
        <v>0</v>
      </c>
      <c r="C9" s="55" t="s">
        <v>34</v>
      </c>
      <c r="D9" s="56">
        <f>COUNTIF(G14:G274,"紹介")</f>
        <v>0</v>
      </c>
      <c r="E9" s="57" t="s">
        <v>35</v>
      </c>
      <c r="F9" s="58" t="e">
        <f>O8/N8</f>
        <v>#DIV/0!</v>
      </c>
      <c r="K9" s="59"/>
      <c r="L9" s="59"/>
      <c r="M9" s="60"/>
      <c r="N9" s="60"/>
      <c r="O9" s="61"/>
      <c r="P9" s="62"/>
      <c r="Q9" s="62"/>
      <c r="R9" s="62"/>
      <c r="S9" s="62"/>
      <c r="T9" s="62"/>
      <c r="U9" s="62"/>
      <c r="V9" s="62"/>
      <c r="W9" s="62"/>
      <c r="X9" s="62"/>
      <c r="Y9" s="62"/>
      <c r="Z9" s="63"/>
      <c r="AA9" s="63"/>
    </row>
    <row r="10" ht="27.6" customHeight="1" spans="1:27" x14ac:dyDescent="0.25">
      <c r="A10" s="64" t="s">
        <v>23</v>
      </c>
      <c r="B10" s="65">
        <f>SUM(M14:M274)</f>
        <v>0</v>
      </c>
      <c r="C10" s="66" t="s">
        <v>33</v>
      </c>
      <c r="D10" s="67">
        <f>SUM(D5:D9)</f>
        <v>0</v>
      </c>
      <c r="K10" s="61"/>
      <c r="L10" s="61"/>
      <c r="M10" s="60"/>
      <c r="N10" s="60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8"/>
      <c r="AA10" s="68"/>
    </row>
    <row r="11" ht="11.25" customHeight="1" spans="1:20" x14ac:dyDescent="0.25">
      <c r="A11" s="69"/>
      <c r="B11" s="70"/>
      <c r="K11" s="61"/>
      <c r="L11" s="61"/>
      <c r="M11" s="60"/>
      <c r="N11" s="60"/>
      <c r="O11" s="61"/>
      <c r="Q11" s="71"/>
      <c r="R11" s="61"/>
      <c r="S11" s="61"/>
      <c r="T11" s="61"/>
    </row>
    <row r="12" ht="12" customHeight="1" spans="16:17" x14ac:dyDescent="0.25">
      <c r="P12" s="72"/>
      <c r="Q12" s="72"/>
    </row>
    <row r="13" ht="19.5" customHeight="1" spans="1:27" s="73" customFormat="1" x14ac:dyDescent="0.25">
      <c r="A13" s="74" t="s">
        <v>36</v>
      </c>
      <c r="B13" s="75"/>
      <c r="C13" s="74" t="s">
        <v>37</v>
      </c>
      <c r="D13" s="75"/>
      <c r="E13" s="76" t="s">
        <v>38</v>
      </c>
      <c r="F13" s="76" t="s">
        <v>1</v>
      </c>
      <c r="G13" s="77" t="s">
        <v>39</v>
      </c>
      <c r="H13" s="78" t="s">
        <v>40</v>
      </c>
      <c r="I13" s="79" t="s">
        <v>41</v>
      </c>
      <c r="J13" s="79" t="s">
        <v>42</v>
      </c>
      <c r="K13" s="75" t="s">
        <v>43</v>
      </c>
      <c r="L13" s="76" t="s">
        <v>44</v>
      </c>
      <c r="M13" s="76" t="s">
        <v>45</v>
      </c>
      <c r="N13" s="75" t="s">
        <v>46</v>
      </c>
      <c r="O13" s="75" t="s">
        <v>47</v>
      </c>
      <c r="P13" s="76" t="s">
        <v>7</v>
      </c>
      <c r="Q13" s="76" t="s">
        <v>12</v>
      </c>
      <c r="R13" s="76" t="s">
        <v>14</v>
      </c>
      <c r="S13" s="76" t="s">
        <v>13</v>
      </c>
      <c r="T13" s="76" t="s">
        <v>21</v>
      </c>
      <c r="Z13" s="80"/>
      <c r="AA13" s="80"/>
    </row>
    <row r="14" ht="18.6" customHeight="1" spans="1:25" x14ac:dyDescent="0.25">
      <c r="A14" s="81" t="s">
        <v>48</v>
      </c>
      <c r="B14" s="82"/>
      <c r="C14" s="81" t="s">
        <v>49</v>
      </c>
      <c r="D14" s="82"/>
      <c r="E14" s="81" t="s">
        <v>50</v>
      </c>
      <c r="F14" s="83"/>
      <c r="G14" s="83"/>
      <c r="H14" s="84" t="s">
        <v>51</v>
      </c>
      <c r="I14" s="84"/>
      <c r="J14" s="84"/>
      <c r="K14" s="83"/>
      <c r="L14" s="83"/>
      <c r="M14" s="85"/>
      <c r="N14" s="83"/>
      <c r="O14" s="83"/>
      <c r="P14" s="83"/>
      <c r="Q14" s="83"/>
      <c r="R14" s="83"/>
      <c r="S14" s="83"/>
      <c r="T14" s="81"/>
      <c r="U14" s="86"/>
      <c r="V14" s="86"/>
      <c r="W14" s="86"/>
      <c r="X14" s="1"/>
      <c r="Y14" s="1"/>
    </row>
    <row r="15" ht="18.6" customHeight="1" spans="1:25" x14ac:dyDescent="0.25">
      <c r="A15" s="81" t="s">
        <v>52</v>
      </c>
      <c r="B15" s="82"/>
      <c r="C15" s="81" t="s">
        <v>53</v>
      </c>
      <c r="D15" s="82"/>
      <c r="E15" s="81" t="s">
        <v>50</v>
      </c>
      <c r="F15" s="83"/>
      <c r="G15" s="83"/>
      <c r="H15" s="84" t="s">
        <v>51</v>
      </c>
      <c r="I15" s="84"/>
      <c r="J15" s="84"/>
      <c r="K15" s="83"/>
      <c r="L15" s="83"/>
      <c r="M15" s="85"/>
      <c r="N15" s="83"/>
      <c r="O15" s="83"/>
      <c r="P15" s="83"/>
      <c r="Q15" s="83"/>
      <c r="R15" s="83"/>
      <c r="S15" s="83"/>
      <c r="T15" s="81"/>
      <c r="U15" s="86"/>
      <c r="V15" s="86"/>
      <c r="W15" s="86"/>
      <c r="X15" s="1"/>
      <c r="Y15" s="1"/>
    </row>
    <row r="16" spans="1:25" x14ac:dyDescent="0.25">
      <c r="A16" s="81" t="s">
        <v>52</v>
      </c>
      <c r="B16" s="82"/>
      <c r="C16" s="81" t="s">
        <v>54</v>
      </c>
      <c r="D16" s="82"/>
      <c r="E16" s="81" t="s">
        <v>50</v>
      </c>
      <c r="F16" s="83"/>
      <c r="G16" s="83"/>
      <c r="H16" s="84" t="s">
        <v>55</v>
      </c>
      <c r="I16" s="84"/>
      <c r="J16" s="84"/>
      <c r="K16" s="83"/>
      <c r="L16" s="83"/>
      <c r="M16" s="85"/>
      <c r="N16" s="83"/>
      <c r="O16" s="83"/>
      <c r="P16" s="83"/>
      <c r="Q16" s="83"/>
      <c r="R16" s="83"/>
      <c r="S16" s="83"/>
      <c r="T16" s="81"/>
      <c r="U16" s="86"/>
      <c r="V16" s="86"/>
      <c r="W16" s="86"/>
      <c r="X16" s="1"/>
      <c r="Y16" s="1"/>
    </row>
    <row r="17" ht="18.6" customHeight="1" spans="1:25" x14ac:dyDescent="0.25">
      <c r="A17" s="81" t="s">
        <v>52</v>
      </c>
      <c r="B17" s="82"/>
      <c r="C17" s="81" t="s">
        <v>54</v>
      </c>
      <c r="D17" s="82"/>
      <c r="E17" s="81" t="s">
        <v>50</v>
      </c>
      <c r="F17" s="83"/>
      <c r="G17" s="83"/>
      <c r="H17" s="84" t="s">
        <v>55</v>
      </c>
      <c r="I17" s="84"/>
      <c r="J17" s="84"/>
      <c r="K17" s="83"/>
      <c r="L17" s="83"/>
      <c r="M17" s="85"/>
      <c r="N17" s="83"/>
      <c r="O17" s="83"/>
      <c r="P17" s="83"/>
      <c r="Q17" s="83"/>
      <c r="R17" s="83"/>
      <c r="S17" s="83"/>
      <c r="T17" s="81"/>
      <c r="U17" s="86"/>
      <c r="V17" s="86"/>
      <c r="W17" s="86"/>
      <c r="X17" s="1"/>
      <c r="Y17" s="1"/>
    </row>
    <row r="18" ht="18.6" customHeight="1" spans="1:23" x14ac:dyDescent="0.25">
      <c r="A18" s="81"/>
      <c r="B18" s="82"/>
      <c r="C18" s="81"/>
      <c r="D18" s="82"/>
      <c r="E18" s="81"/>
      <c r="F18" s="83"/>
      <c r="G18" s="83"/>
      <c r="H18" s="84"/>
      <c r="I18" s="84"/>
      <c r="J18" s="84"/>
      <c r="K18" s="83"/>
      <c r="L18" s="83"/>
      <c r="M18" s="85"/>
      <c r="N18" s="83"/>
      <c r="O18" s="83"/>
      <c r="P18" s="83"/>
      <c r="Q18" s="83"/>
      <c r="R18" s="83"/>
      <c r="S18" s="83"/>
      <c r="T18" s="81"/>
      <c r="U18" s="86"/>
      <c r="V18" s="86"/>
      <c r="W18" s="86"/>
    </row>
    <row r="19" spans="1:23" x14ac:dyDescent="0.25">
      <c r="A19" s="81"/>
      <c r="B19" s="82"/>
      <c r="C19" s="81"/>
      <c r="D19" s="82"/>
      <c r="E19" s="81"/>
      <c r="F19" s="83"/>
      <c r="G19" s="83"/>
      <c r="H19" s="84"/>
      <c r="I19" s="84"/>
      <c r="J19" s="84"/>
      <c r="K19" s="83"/>
      <c r="L19" s="83"/>
      <c r="M19" s="85"/>
      <c r="N19" s="83"/>
      <c r="O19" s="83"/>
      <c r="P19" s="83"/>
      <c r="Q19" s="83"/>
      <c r="R19" s="83"/>
      <c r="S19" s="83"/>
      <c r="T19" s="81"/>
      <c r="U19" s="86"/>
      <c r="V19" s="86"/>
      <c r="W19" s="86"/>
    </row>
    <row r="20" ht="18.6" customHeight="1" spans="1:23" x14ac:dyDescent="0.25">
      <c r="A20" s="81"/>
      <c r="B20" s="82"/>
      <c r="C20" s="81"/>
      <c r="D20" s="82"/>
      <c r="E20" s="81"/>
      <c r="F20" s="83"/>
      <c r="G20" s="83"/>
      <c r="H20" s="84"/>
      <c r="I20" s="84"/>
      <c r="J20" s="84"/>
      <c r="K20" s="83"/>
      <c r="L20" s="83"/>
      <c r="M20" s="85"/>
      <c r="N20" s="83"/>
      <c r="O20" s="83"/>
      <c r="P20" s="83"/>
      <c r="Q20" s="83"/>
      <c r="R20" s="83"/>
      <c r="S20" s="83"/>
      <c r="T20" s="81"/>
      <c r="U20" s="86"/>
      <c r="V20" s="86"/>
      <c r="W20" s="86"/>
    </row>
    <row r="21" ht="18.6" customHeight="1" spans="1:23" x14ac:dyDescent="0.25">
      <c r="A21" s="81"/>
      <c r="B21" s="82"/>
      <c r="C21" s="81"/>
      <c r="D21" s="82"/>
      <c r="E21" s="81"/>
      <c r="F21" s="83"/>
      <c r="G21" s="83"/>
      <c r="H21" s="84"/>
      <c r="I21" s="84"/>
      <c r="J21" s="84"/>
      <c r="K21" s="83"/>
      <c r="L21" s="83"/>
      <c r="M21" s="85"/>
      <c r="N21" s="83"/>
      <c r="O21" s="83"/>
      <c r="P21" s="83"/>
      <c r="Q21" s="83"/>
      <c r="R21" s="83"/>
      <c r="S21" s="83"/>
      <c r="T21" s="81"/>
      <c r="U21" s="86"/>
      <c r="V21" s="86"/>
      <c r="W21" s="86"/>
    </row>
    <row r="22" ht="17.45" customHeight="1" spans="1:20" s="86" customFormat="1" x14ac:dyDescent="0.25">
      <c r="A22" s="81"/>
      <c r="B22" s="82"/>
      <c r="C22" s="81"/>
      <c r="D22" s="82"/>
      <c r="E22" s="81"/>
      <c r="F22" s="83"/>
      <c r="G22" s="83"/>
      <c r="H22" s="84"/>
      <c r="I22" s="84"/>
      <c r="J22" s="84"/>
      <c r="K22" s="83"/>
      <c r="L22" s="83"/>
      <c r="M22" s="85"/>
      <c r="N22" s="83"/>
      <c r="O22" s="83"/>
      <c r="P22" s="83"/>
      <c r="Q22" s="83"/>
      <c r="R22" s="83"/>
      <c r="S22" s="83"/>
      <c r="T22" s="81"/>
    </row>
    <row r="23" ht="17.45" customHeight="1" spans="1:20" s="86" customFormat="1" x14ac:dyDescent="0.25">
      <c r="A23" s="81"/>
      <c r="B23" s="82"/>
      <c r="C23" s="81"/>
      <c r="D23" s="82"/>
      <c r="E23" s="81"/>
      <c r="F23" s="83"/>
      <c r="G23" s="83"/>
      <c r="H23" s="84"/>
      <c r="I23" s="84"/>
      <c r="J23" s="84"/>
      <c r="K23" s="83"/>
      <c r="L23" s="83"/>
      <c r="M23" s="85"/>
      <c r="N23" s="83"/>
      <c r="O23" s="83"/>
      <c r="P23" s="83"/>
      <c r="Q23" s="83"/>
      <c r="R23" s="83"/>
      <c r="S23" s="83"/>
      <c r="T23" s="81"/>
    </row>
    <row r="24" ht="17.45" customHeight="1" spans="1:20" s="86" customFormat="1" x14ac:dyDescent="0.25">
      <c r="A24" s="81"/>
      <c r="B24" s="82"/>
      <c r="C24" s="81"/>
      <c r="D24" s="82"/>
      <c r="E24" s="81"/>
      <c r="F24" s="83"/>
      <c r="G24" s="83"/>
      <c r="H24" s="84"/>
      <c r="I24" s="84"/>
      <c r="J24" s="84"/>
      <c r="K24" s="83"/>
      <c r="L24" s="83"/>
      <c r="M24" s="85"/>
      <c r="N24" s="83"/>
      <c r="O24" s="83"/>
      <c r="P24" s="83"/>
      <c r="Q24" s="83"/>
      <c r="R24" s="81"/>
      <c r="S24" s="81"/>
      <c r="T24" s="81"/>
    </row>
    <row r="25" ht="17.45" customHeight="1" spans="1:20" s="86" customFormat="1" x14ac:dyDescent="0.25">
      <c r="A25" s="81"/>
      <c r="B25" s="82"/>
      <c r="C25" s="81"/>
      <c r="D25" s="82"/>
      <c r="E25" s="81"/>
      <c r="F25" s="83"/>
      <c r="G25" s="83"/>
      <c r="H25" s="84"/>
      <c r="I25" s="84"/>
      <c r="J25" s="84"/>
      <c r="K25" s="83"/>
      <c r="L25" s="83"/>
      <c r="M25" s="85"/>
      <c r="N25" s="83"/>
      <c r="O25" s="83"/>
      <c r="P25" s="83"/>
      <c r="Q25" s="83"/>
      <c r="R25" s="81"/>
      <c r="S25" s="81"/>
      <c r="T25" s="81"/>
    </row>
    <row r="26" ht="17.45" customHeight="1" spans="1:20" s="86" customFormat="1" x14ac:dyDescent="0.25">
      <c r="A26" s="81"/>
      <c r="B26" s="82"/>
      <c r="C26" s="81"/>
      <c r="D26" s="82"/>
      <c r="E26" s="81"/>
      <c r="F26" s="83"/>
      <c r="G26" s="83"/>
      <c r="H26" s="84"/>
      <c r="I26" s="84"/>
      <c r="J26" s="84"/>
      <c r="K26" s="83"/>
      <c r="L26" s="83"/>
      <c r="M26" s="85"/>
      <c r="N26" s="83"/>
      <c r="O26" s="83"/>
      <c r="P26" s="83"/>
      <c r="Q26" s="83"/>
      <c r="R26" s="81"/>
      <c r="S26" s="81"/>
      <c r="T26" s="81"/>
    </row>
    <row r="27" ht="17.45" customHeight="1" spans="1:20" s="86" customFormat="1" x14ac:dyDescent="0.25">
      <c r="A27" s="81"/>
      <c r="B27" s="82"/>
      <c r="C27" s="81"/>
      <c r="D27" s="82"/>
      <c r="E27" s="81"/>
      <c r="F27" s="83"/>
      <c r="G27" s="83"/>
      <c r="H27" s="84"/>
      <c r="I27" s="84"/>
      <c r="J27" s="84"/>
      <c r="K27" s="83"/>
      <c r="L27" s="83"/>
      <c r="M27" s="85"/>
      <c r="N27" s="83"/>
      <c r="O27" s="83"/>
      <c r="P27" s="83"/>
      <c r="Q27" s="83"/>
      <c r="R27" s="81"/>
      <c r="S27" s="81"/>
      <c r="T27" s="81"/>
    </row>
    <row r="28" spans="1:20" s="86" customFormat="1" x14ac:dyDescent="0.25">
      <c r="A28" s="81"/>
      <c r="B28" s="82"/>
      <c r="C28" s="81"/>
      <c r="D28" s="82"/>
      <c r="E28" s="81"/>
      <c r="F28" s="83"/>
      <c r="G28" s="83"/>
      <c r="H28" s="84"/>
      <c r="I28" s="84"/>
      <c r="J28" s="84"/>
      <c r="K28" s="83"/>
      <c r="L28" s="83"/>
      <c r="M28" s="85"/>
      <c r="N28" s="83"/>
      <c r="O28" s="83"/>
      <c r="P28" s="83"/>
      <c r="Q28" s="83"/>
      <c r="R28" s="81"/>
      <c r="S28" s="81"/>
      <c r="T28" s="81"/>
    </row>
    <row r="29" spans="1:20" s="86" customFormat="1" x14ac:dyDescent="0.25">
      <c r="A29" s="81"/>
      <c r="B29" s="82"/>
      <c r="C29" s="81"/>
      <c r="D29" s="82"/>
      <c r="E29" s="81"/>
      <c r="F29" s="83"/>
      <c r="G29" s="83"/>
      <c r="H29" s="84"/>
      <c r="I29" s="84"/>
      <c r="J29" s="84"/>
      <c r="K29" s="83"/>
      <c r="L29" s="83"/>
      <c r="M29" s="85"/>
      <c r="N29" s="83"/>
      <c r="O29" s="83"/>
      <c r="P29" s="83"/>
      <c r="Q29" s="83"/>
      <c r="R29" s="83"/>
      <c r="S29" s="83"/>
      <c r="T29" s="81"/>
    </row>
    <row r="30" spans="1:20" s="86" customFormat="1" x14ac:dyDescent="0.25">
      <c r="A30" s="81"/>
      <c r="B30" s="82"/>
      <c r="C30" s="81"/>
      <c r="D30" s="82"/>
      <c r="E30" s="81"/>
      <c r="F30" s="81"/>
      <c r="G30" s="83"/>
      <c r="H30" s="84"/>
      <c r="I30" s="84"/>
      <c r="J30" s="84"/>
      <c r="K30" s="83"/>
      <c r="L30" s="83"/>
      <c r="M30" s="85"/>
      <c r="N30" s="83"/>
      <c r="O30" s="83"/>
      <c r="P30" s="83"/>
      <c r="Q30" s="83"/>
      <c r="R30" s="83"/>
      <c r="S30" s="83"/>
      <c r="T30" s="81"/>
    </row>
    <row r="31" spans="1:20" s="86" customFormat="1" x14ac:dyDescent="0.25">
      <c r="A31" s="81"/>
      <c r="B31" s="82"/>
      <c r="C31" s="81"/>
      <c r="D31" s="82"/>
      <c r="E31" s="81"/>
      <c r="F31" s="83"/>
      <c r="G31" s="83"/>
      <c r="H31" s="84"/>
      <c r="I31" s="84"/>
      <c r="J31" s="84"/>
      <c r="K31" s="83"/>
      <c r="L31" s="83"/>
      <c r="M31" s="85"/>
      <c r="N31" s="83"/>
      <c r="O31" s="83"/>
      <c r="P31" s="83"/>
      <c r="Q31" s="83"/>
      <c r="R31" s="83"/>
      <c r="S31" s="83"/>
      <c r="T31" s="81"/>
    </row>
    <row r="32" ht="16.15" customHeight="1" spans="1:20" s="86" customFormat="1" x14ac:dyDescent="0.25">
      <c r="A32" s="81"/>
      <c r="B32" s="82"/>
      <c r="C32" s="81"/>
      <c r="D32" s="82"/>
      <c r="E32" s="81"/>
      <c r="F32" s="83"/>
      <c r="G32" s="83"/>
      <c r="H32" s="84"/>
      <c r="I32" s="84"/>
      <c r="J32" s="84"/>
      <c r="K32" s="83"/>
      <c r="L32" s="83"/>
      <c r="M32" s="85"/>
      <c r="N32" s="83"/>
      <c r="O32" s="83"/>
      <c r="P32" s="83"/>
      <c r="Q32" s="83"/>
      <c r="R32" s="83"/>
      <c r="S32" s="83"/>
      <c r="T32" s="81"/>
    </row>
    <row r="33" ht="16.15" customHeight="1" spans="1:21" s="86" customFormat="1" x14ac:dyDescent="0.25">
      <c r="A33" s="81"/>
      <c r="B33" s="82"/>
      <c r="C33" s="81"/>
      <c r="D33" s="82"/>
      <c r="E33" s="81"/>
      <c r="F33" s="83"/>
      <c r="G33" s="83"/>
      <c r="H33" s="84"/>
      <c r="I33" s="84"/>
      <c r="J33" s="84"/>
      <c r="K33" s="83"/>
      <c r="L33" s="83"/>
      <c r="M33" s="85"/>
      <c r="N33" s="83"/>
      <c r="O33" s="83"/>
      <c r="P33" s="83"/>
      <c r="Q33" s="83"/>
      <c r="R33" s="83"/>
      <c r="S33" s="83"/>
      <c r="T33" s="81"/>
      <c r="U33" s="86" t="s">
        <v>56</v>
      </c>
    </row>
    <row r="34" ht="16.5" customHeight="1" spans="1:20" s="87" customFormat="1" x14ac:dyDescent="0.25">
      <c r="A34" s="81"/>
      <c r="B34" s="82"/>
      <c r="C34" s="81"/>
      <c r="D34" s="82"/>
      <c r="E34" s="81"/>
      <c r="F34" s="83"/>
      <c r="G34" s="83"/>
      <c r="H34" s="84"/>
      <c r="I34" s="84"/>
      <c r="J34" s="84"/>
      <c r="K34" s="83"/>
      <c r="L34" s="83"/>
      <c r="M34" s="85"/>
      <c r="N34" s="83"/>
      <c r="O34" s="83"/>
      <c r="P34" s="83"/>
      <c r="Q34" s="83"/>
      <c r="R34" s="83"/>
      <c r="S34" s="83"/>
      <c r="T34" s="81"/>
    </row>
    <row r="35" spans="1:20" s="87" customFormat="1" x14ac:dyDescent="0.25">
      <c r="A35" s="81"/>
      <c r="B35" s="82"/>
      <c r="C35" s="81"/>
      <c r="D35" s="82"/>
      <c r="E35" s="81"/>
      <c r="F35" s="83"/>
      <c r="G35" s="83"/>
      <c r="H35" s="84"/>
      <c r="I35" s="84"/>
      <c r="J35" s="84"/>
      <c r="K35" s="83"/>
      <c r="L35" s="83"/>
      <c r="M35" s="85"/>
      <c r="N35" s="83"/>
      <c r="O35" s="83"/>
      <c r="P35" s="83"/>
      <c r="Q35" s="83"/>
      <c r="R35" s="83"/>
      <c r="S35" s="83"/>
      <c r="T35" s="81"/>
    </row>
    <row r="36" ht="16.5" customHeight="1" spans="1:23" x14ac:dyDescent="0.25">
      <c r="A36" s="81"/>
      <c r="B36" s="82"/>
      <c r="C36" s="81"/>
      <c r="D36" s="82"/>
      <c r="E36" s="81"/>
      <c r="F36" s="83"/>
      <c r="G36" s="83"/>
      <c r="H36" s="84"/>
      <c r="I36" s="84"/>
      <c r="J36" s="84"/>
      <c r="K36" s="83"/>
      <c r="L36" s="83"/>
      <c r="M36" s="85"/>
      <c r="N36" s="83"/>
      <c r="O36" s="83"/>
      <c r="P36" s="83"/>
      <c r="Q36" s="83"/>
      <c r="R36" s="83"/>
      <c r="S36" s="83"/>
      <c r="T36" s="81"/>
      <c r="U36" s="86"/>
      <c r="V36" s="86"/>
      <c r="W36" s="86"/>
    </row>
    <row r="37" spans="1:23" x14ac:dyDescent="0.25">
      <c r="A37" s="81"/>
      <c r="B37" s="82"/>
      <c r="C37" s="81"/>
      <c r="D37" s="82"/>
      <c r="E37" s="81"/>
      <c r="F37" s="83"/>
      <c r="G37" s="83"/>
      <c r="H37" s="84"/>
      <c r="I37" s="84"/>
      <c r="J37" s="84"/>
      <c r="K37" s="83"/>
      <c r="L37" s="83"/>
      <c r="M37" s="85"/>
      <c r="N37" s="83"/>
      <c r="O37" s="83"/>
      <c r="P37" s="83"/>
      <c r="Q37" s="83"/>
      <c r="R37" s="83"/>
      <c r="S37" s="83"/>
      <c r="T37" s="81"/>
      <c r="U37" s="86"/>
      <c r="V37" s="86"/>
      <c r="W37" s="86"/>
    </row>
    <row r="38" ht="16.5" customHeight="1" spans="1:23" x14ac:dyDescent="0.25">
      <c r="A38" s="81"/>
      <c r="B38" s="82"/>
      <c r="C38" s="81"/>
      <c r="D38" s="82"/>
      <c r="E38" s="81"/>
      <c r="F38" s="83"/>
      <c r="G38" s="83"/>
      <c r="H38" s="88"/>
      <c r="I38" s="89"/>
      <c r="J38" s="89"/>
      <c r="K38" s="83"/>
      <c r="L38" s="83"/>
      <c r="M38" s="85"/>
      <c r="N38" s="83"/>
      <c r="O38" s="83"/>
      <c r="P38" s="83"/>
      <c r="Q38" s="83"/>
      <c r="R38" s="83"/>
      <c r="S38" s="83"/>
      <c r="T38" s="81"/>
      <c r="U38" s="86"/>
      <c r="V38" s="86"/>
      <c r="W38" s="86"/>
    </row>
    <row r="39" ht="16.5" customHeight="1" spans="1:23" x14ac:dyDescent="0.25">
      <c r="A39" s="81"/>
      <c r="B39" s="82"/>
      <c r="C39" s="81"/>
      <c r="D39" s="82"/>
      <c r="E39" s="81"/>
      <c r="F39" s="83"/>
      <c r="G39" s="83"/>
      <c r="H39" s="84"/>
      <c r="I39" s="84"/>
      <c r="J39" s="84"/>
      <c r="K39" s="83"/>
      <c r="L39" s="83"/>
      <c r="M39" s="85"/>
      <c r="N39" s="83"/>
      <c r="O39" s="83"/>
      <c r="P39" s="83"/>
      <c r="Q39" s="83"/>
      <c r="R39" s="83"/>
      <c r="S39" s="83"/>
      <c r="T39" s="81"/>
      <c r="U39" s="86"/>
      <c r="V39" s="86"/>
      <c r="W39" s="86"/>
    </row>
    <row r="40" ht="18.6" customHeight="1" spans="1:20" s="86" customFormat="1" x14ac:dyDescent="0.25">
      <c r="A40" s="81"/>
      <c r="B40" s="82"/>
      <c r="C40" s="81"/>
      <c r="D40" s="82"/>
      <c r="E40" s="81"/>
      <c r="F40" s="83"/>
      <c r="G40" s="83"/>
      <c r="H40" s="84"/>
      <c r="I40" s="84"/>
      <c r="J40" s="84"/>
      <c r="K40" s="83"/>
      <c r="L40" s="83"/>
      <c r="M40" s="85"/>
      <c r="N40" s="83"/>
      <c r="O40" s="83"/>
      <c r="P40" s="83"/>
      <c r="Q40" s="83"/>
      <c r="R40" s="83"/>
      <c r="S40" s="83"/>
      <c r="T40" s="81"/>
    </row>
    <row r="41" ht="18.6" customHeight="1" spans="1:20" s="86" customFormat="1" x14ac:dyDescent="0.25">
      <c r="A41" s="81"/>
      <c r="B41" s="82"/>
      <c r="C41" s="81"/>
      <c r="D41" s="82"/>
      <c r="E41" s="81"/>
      <c r="F41" s="83"/>
      <c r="G41" s="83"/>
      <c r="H41" s="84"/>
      <c r="I41" s="84"/>
      <c r="J41" s="84"/>
      <c r="K41" s="83"/>
      <c r="L41" s="83"/>
      <c r="M41" s="85"/>
      <c r="N41" s="83"/>
      <c r="O41" s="83"/>
      <c r="P41" s="83"/>
      <c r="Q41" s="83"/>
      <c r="R41" s="83"/>
      <c r="S41" s="83"/>
      <c r="T41" s="81"/>
    </row>
    <row r="42" ht="18.6" customHeight="1" spans="1:20" s="86" customFormat="1" x14ac:dyDescent="0.25">
      <c r="A42" s="81"/>
      <c r="B42" s="82"/>
      <c r="C42" s="81"/>
      <c r="D42" s="82"/>
      <c r="E42" s="81"/>
      <c r="F42" s="83"/>
      <c r="G42" s="83"/>
      <c r="H42" s="88"/>
      <c r="I42" s="89"/>
      <c r="J42" s="89"/>
      <c r="K42" s="83"/>
      <c r="L42" s="83"/>
      <c r="M42" s="85"/>
      <c r="N42" s="83"/>
      <c r="O42" s="83"/>
      <c r="P42" s="83"/>
      <c r="Q42" s="83"/>
      <c r="R42" s="83"/>
      <c r="S42" s="83"/>
      <c r="T42" s="81"/>
    </row>
    <row r="43" spans="1:23" x14ac:dyDescent="0.25">
      <c r="A43" s="81"/>
      <c r="B43" s="82"/>
      <c r="C43" s="81"/>
      <c r="D43" s="82"/>
      <c r="E43" s="81"/>
      <c r="F43" s="83"/>
      <c r="G43" s="83"/>
      <c r="H43" s="84"/>
      <c r="I43" s="84"/>
      <c r="J43" s="84"/>
      <c r="K43" s="83"/>
      <c r="L43" s="83"/>
      <c r="M43" s="85"/>
      <c r="N43" s="83"/>
      <c r="O43" s="83"/>
      <c r="P43" s="83"/>
      <c r="Q43" s="83"/>
      <c r="R43" s="83"/>
      <c r="S43" s="83"/>
      <c r="T43" s="81"/>
      <c r="U43" s="86"/>
      <c r="V43" s="86"/>
      <c r="W43" s="86"/>
    </row>
    <row r="44" spans="1:23" x14ac:dyDescent="0.25">
      <c r="A44" s="81"/>
      <c r="B44" s="82"/>
      <c r="C44" s="81"/>
      <c r="D44" s="82"/>
      <c r="E44" s="81"/>
      <c r="F44" s="83"/>
      <c r="G44" s="83"/>
      <c r="H44" s="84"/>
      <c r="I44" s="84"/>
      <c r="J44" s="84"/>
      <c r="K44" s="83"/>
      <c r="L44" s="83"/>
      <c r="M44" s="85"/>
      <c r="N44" s="83"/>
      <c r="O44" s="83"/>
      <c r="P44" s="83"/>
      <c r="Q44" s="83"/>
      <c r="R44" s="83"/>
      <c r="S44" s="83"/>
      <c r="T44" s="81"/>
      <c r="U44" s="86"/>
      <c r="V44" s="86"/>
      <c r="W44" s="86"/>
    </row>
    <row r="45" spans="1:20" s="86" customFormat="1" x14ac:dyDescent="0.25">
      <c r="A45" s="81"/>
      <c r="B45" s="82"/>
      <c r="C45" s="81"/>
      <c r="D45" s="82"/>
      <c r="E45" s="81"/>
      <c r="F45" s="83"/>
      <c r="G45" s="83"/>
      <c r="H45" s="88"/>
      <c r="I45" s="89"/>
      <c r="J45" s="89"/>
      <c r="K45" s="83"/>
      <c r="L45" s="83"/>
      <c r="M45" s="85"/>
      <c r="N45" s="83"/>
      <c r="O45" s="83"/>
      <c r="P45" s="83"/>
      <c r="Q45" s="83"/>
      <c r="R45" s="83"/>
      <c r="S45" s="83"/>
      <c r="T45" s="81"/>
    </row>
    <row r="46" ht="16.5" customHeight="1" spans="1:23" x14ac:dyDescent="0.25">
      <c r="A46" s="81"/>
      <c r="B46" s="82"/>
      <c r="C46" s="81"/>
      <c r="D46" s="82"/>
      <c r="E46" s="81"/>
      <c r="F46" s="83"/>
      <c r="G46" s="90"/>
      <c r="H46" s="84"/>
      <c r="I46" s="84"/>
      <c r="J46" s="84"/>
      <c r="K46" s="83"/>
      <c r="L46" s="83"/>
      <c r="M46" s="85"/>
      <c r="N46" s="83"/>
      <c r="O46" s="83"/>
      <c r="P46" s="83"/>
      <c r="Q46" s="83"/>
      <c r="R46" s="83"/>
      <c r="S46" s="83"/>
      <c r="T46" s="81"/>
      <c r="U46" s="86"/>
      <c r="V46" s="86"/>
      <c r="W46" s="86"/>
    </row>
    <row r="47" spans="1:23" x14ac:dyDescent="0.25">
      <c r="A47" s="81"/>
      <c r="B47" s="82"/>
      <c r="C47" s="81"/>
      <c r="D47" s="82"/>
      <c r="E47" s="81"/>
      <c r="F47" s="83"/>
      <c r="G47" s="90"/>
      <c r="H47" s="84"/>
      <c r="I47" s="84"/>
      <c r="J47" s="84"/>
      <c r="K47" s="83"/>
      <c r="L47" s="83"/>
      <c r="M47" s="85"/>
      <c r="N47" s="83"/>
      <c r="O47" s="83"/>
      <c r="P47" s="83"/>
      <c r="Q47" s="83"/>
      <c r="R47" s="83"/>
      <c r="S47" s="83"/>
      <c r="T47" s="81"/>
      <c r="U47" s="86"/>
      <c r="V47" s="86"/>
      <c r="W47" s="86"/>
    </row>
    <row r="48" ht="15.75" customHeight="1" spans="1:23" x14ac:dyDescent="0.25">
      <c r="A48" s="81"/>
      <c r="B48" s="82"/>
      <c r="C48" s="81"/>
      <c r="D48" s="82"/>
      <c r="E48" s="81"/>
      <c r="F48" s="83"/>
      <c r="G48" s="83"/>
      <c r="H48" s="84"/>
      <c r="I48" s="84"/>
      <c r="J48" s="84"/>
      <c r="K48" s="83"/>
      <c r="L48" s="83"/>
      <c r="M48" s="85"/>
      <c r="N48" s="83"/>
      <c r="O48" s="83"/>
      <c r="P48" s="83"/>
      <c r="Q48" s="83"/>
      <c r="R48" s="83"/>
      <c r="S48" s="83"/>
      <c r="T48" s="81"/>
      <c r="U48" s="86"/>
      <c r="V48" s="86"/>
      <c r="W48" s="86"/>
    </row>
    <row r="49" ht="16.5" customHeight="1" spans="1:23" x14ac:dyDescent="0.25">
      <c r="A49" s="81"/>
      <c r="B49" s="82"/>
      <c r="C49" s="81"/>
      <c r="D49" s="82"/>
      <c r="E49" s="81"/>
      <c r="F49" s="83"/>
      <c r="G49" s="90"/>
      <c r="H49" s="84"/>
      <c r="I49" s="84"/>
      <c r="J49" s="84"/>
      <c r="K49" s="83"/>
      <c r="L49" s="83"/>
      <c r="M49" s="85"/>
      <c r="N49" s="83"/>
      <c r="O49" s="83"/>
      <c r="P49" s="83"/>
      <c r="Q49" s="83"/>
      <c r="R49" s="83"/>
      <c r="S49" s="83"/>
      <c r="T49" s="81"/>
      <c r="U49" s="86"/>
      <c r="V49" s="86"/>
      <c r="W49" s="86"/>
    </row>
    <row r="50" spans="1:20" s="86" customFormat="1" x14ac:dyDescent="0.25">
      <c r="A50" s="81"/>
      <c r="B50" s="82"/>
      <c r="C50" s="81"/>
      <c r="D50" s="82"/>
      <c r="E50" s="81"/>
      <c r="F50" s="83"/>
      <c r="G50" s="83"/>
      <c r="H50" s="84"/>
      <c r="I50" s="84"/>
      <c r="J50" s="84"/>
      <c r="K50" s="83"/>
      <c r="L50" s="83"/>
      <c r="M50" s="85"/>
      <c r="N50" s="83"/>
      <c r="O50" s="83"/>
      <c r="P50" s="83"/>
      <c r="Q50" s="83"/>
      <c r="R50" s="83"/>
      <c r="S50" s="83"/>
      <c r="T50" s="81"/>
    </row>
    <row r="51" spans="1:20" s="86" customFormat="1" x14ac:dyDescent="0.25">
      <c r="A51" s="81"/>
      <c r="B51" s="82"/>
      <c r="C51" s="81"/>
      <c r="D51" s="82"/>
      <c r="E51" s="81"/>
      <c r="F51" s="83"/>
      <c r="G51" s="83"/>
      <c r="H51" s="84"/>
      <c r="I51" s="84"/>
      <c r="J51" s="84"/>
      <c r="K51" s="83"/>
      <c r="L51" s="83"/>
      <c r="M51" s="85"/>
      <c r="N51" s="83"/>
      <c r="O51" s="83"/>
      <c r="P51" s="83"/>
      <c r="Q51" s="83"/>
      <c r="R51" s="83"/>
      <c r="S51" s="83"/>
      <c r="T51" s="81"/>
    </row>
    <row r="52" spans="1:20" s="86" customFormat="1" x14ac:dyDescent="0.25">
      <c r="A52" s="81"/>
      <c r="B52" s="82"/>
      <c r="C52" s="81"/>
      <c r="D52" s="82"/>
      <c r="E52" s="81"/>
      <c r="F52" s="83"/>
      <c r="G52" s="83"/>
      <c r="H52" s="88"/>
      <c r="I52" s="89"/>
      <c r="J52" s="89"/>
      <c r="K52" s="83"/>
      <c r="L52" s="83"/>
      <c r="M52" s="85"/>
      <c r="N52" s="83"/>
      <c r="O52" s="83"/>
      <c r="P52" s="83"/>
      <c r="Q52" s="83"/>
      <c r="R52" s="83"/>
      <c r="S52" s="83"/>
      <c r="T52" s="81"/>
    </row>
    <row r="53" spans="1:20" s="86" customFormat="1" x14ac:dyDescent="0.25">
      <c r="A53" s="81"/>
      <c r="B53" s="82"/>
      <c r="C53" s="81"/>
      <c r="D53" s="82"/>
      <c r="E53" s="81"/>
      <c r="F53" s="83"/>
      <c r="G53" s="83"/>
      <c r="H53" s="91"/>
      <c r="I53" s="91"/>
      <c r="J53" s="91"/>
      <c r="K53" s="83"/>
      <c r="L53" s="83"/>
      <c r="M53" s="85"/>
      <c r="N53" s="83"/>
      <c r="O53" s="83"/>
      <c r="P53" s="83"/>
      <c r="Q53" s="83"/>
      <c r="R53" s="83"/>
      <c r="S53" s="83"/>
      <c r="T53" s="81"/>
    </row>
    <row r="54" spans="1:20" s="86" customFormat="1" x14ac:dyDescent="0.25">
      <c r="A54" s="81"/>
      <c r="B54" s="82"/>
      <c r="C54" s="81"/>
      <c r="D54" s="82"/>
      <c r="E54" s="81"/>
      <c r="F54" s="83"/>
      <c r="G54" s="83"/>
      <c r="H54" s="84"/>
      <c r="I54" s="84"/>
      <c r="J54" s="84"/>
      <c r="K54" s="83"/>
      <c r="L54" s="83"/>
      <c r="M54" s="85"/>
      <c r="N54" s="83"/>
      <c r="O54" s="83"/>
      <c r="P54" s="83"/>
      <c r="Q54" s="83"/>
      <c r="R54" s="83"/>
      <c r="S54" s="83"/>
      <c r="T54" s="81"/>
    </row>
    <row r="55" spans="1:20" s="86" customFormat="1" x14ac:dyDescent="0.25">
      <c r="A55" s="81"/>
      <c r="B55" s="82"/>
      <c r="C55" s="81"/>
      <c r="D55" s="82"/>
      <c r="E55" s="81"/>
      <c r="F55" s="83"/>
      <c r="G55" s="83"/>
      <c r="H55" s="84"/>
      <c r="I55" s="84"/>
      <c r="J55" s="84"/>
      <c r="K55" s="83"/>
      <c r="L55" s="83"/>
      <c r="M55" s="85"/>
      <c r="N55" s="83"/>
      <c r="O55" s="83"/>
      <c r="P55" s="83"/>
      <c r="Q55" s="83"/>
      <c r="R55" s="83"/>
      <c r="S55" s="83"/>
      <c r="T55" s="81"/>
    </row>
    <row r="56" spans="1:20" s="86" customFormat="1" x14ac:dyDescent="0.25">
      <c r="A56" s="81"/>
      <c r="B56" s="82"/>
      <c r="C56" s="81"/>
      <c r="D56" s="82"/>
      <c r="E56" s="81"/>
      <c r="F56" s="83"/>
      <c r="G56" s="83"/>
      <c r="H56" s="92"/>
      <c r="I56" s="84"/>
      <c r="J56" s="84"/>
      <c r="K56" s="83"/>
      <c r="L56" s="83"/>
      <c r="M56" s="85"/>
      <c r="N56" s="83"/>
      <c r="O56" s="83"/>
      <c r="P56" s="83"/>
      <c r="Q56" s="83"/>
      <c r="R56" s="83"/>
      <c r="S56" s="83"/>
      <c r="T56" s="81"/>
    </row>
    <row r="57" spans="1:20" s="86" customFormat="1" x14ac:dyDescent="0.25">
      <c r="A57" s="81"/>
      <c r="B57" s="82"/>
      <c r="C57" s="81"/>
      <c r="D57" s="82"/>
      <c r="E57" s="81"/>
      <c r="F57" s="83"/>
      <c r="G57" s="83"/>
      <c r="H57" s="84"/>
      <c r="I57" s="84"/>
      <c r="J57" s="84"/>
      <c r="K57" s="83"/>
      <c r="L57" s="83"/>
      <c r="M57" s="85"/>
      <c r="N57" s="83"/>
      <c r="O57" s="83"/>
      <c r="P57" s="83"/>
      <c r="Q57" s="83"/>
      <c r="R57" s="83"/>
      <c r="S57" s="83"/>
      <c r="T57" s="81"/>
    </row>
    <row r="58" spans="1:20" s="86" customFormat="1" x14ac:dyDescent="0.25">
      <c r="A58" s="81"/>
      <c r="B58" s="82"/>
      <c r="C58" s="81"/>
      <c r="D58" s="82"/>
      <c r="E58" s="81"/>
      <c r="F58" s="83"/>
      <c r="G58" s="83"/>
      <c r="H58" s="92"/>
      <c r="I58" s="84"/>
      <c r="J58" s="84"/>
      <c r="K58" s="83"/>
      <c r="L58" s="83"/>
      <c r="M58" s="85"/>
      <c r="N58" s="83"/>
      <c r="O58" s="83"/>
      <c r="P58" s="83"/>
      <c r="Q58" s="83"/>
      <c r="R58" s="83"/>
      <c r="S58" s="83"/>
      <c r="T58" s="81"/>
    </row>
    <row r="59" ht="15.75" customHeight="1" spans="1:23" x14ac:dyDescent="0.25">
      <c r="A59" s="81"/>
      <c r="B59" s="82"/>
      <c r="C59" s="81"/>
      <c r="D59" s="82"/>
      <c r="E59" s="81"/>
      <c r="F59" s="83"/>
      <c r="G59" s="83"/>
      <c r="H59" s="84"/>
      <c r="I59" s="84"/>
      <c r="J59" s="84"/>
      <c r="K59" s="83"/>
      <c r="L59" s="83"/>
      <c r="M59" s="85"/>
      <c r="N59" s="83"/>
      <c r="O59" s="83"/>
      <c r="P59" s="83"/>
      <c r="Q59" s="83"/>
      <c r="R59" s="83"/>
      <c r="S59" s="83"/>
      <c r="T59" s="81"/>
      <c r="U59" s="86"/>
      <c r="V59" s="86"/>
      <c r="W59" s="86"/>
    </row>
    <row r="60" ht="17.45" customHeight="1" spans="1:23" x14ac:dyDescent="0.25">
      <c r="A60" s="81"/>
      <c r="B60" s="82"/>
      <c r="C60" s="81"/>
      <c r="D60" s="82"/>
      <c r="E60" s="81"/>
      <c r="F60" s="83"/>
      <c r="G60" s="83"/>
      <c r="H60" s="84"/>
      <c r="I60" s="84"/>
      <c r="J60" s="84"/>
      <c r="K60" s="83"/>
      <c r="L60" s="83"/>
      <c r="M60" s="85"/>
      <c r="N60" s="83"/>
      <c r="O60" s="83"/>
      <c r="P60" s="83"/>
      <c r="Q60" s="83"/>
      <c r="R60" s="83"/>
      <c r="S60" s="83"/>
      <c r="T60" s="81"/>
      <c r="U60" s="86"/>
      <c r="V60" s="86"/>
      <c r="W60" s="86"/>
    </row>
    <row r="61" ht="17.45" customHeight="1" spans="1:23" x14ac:dyDescent="0.25">
      <c r="A61" s="81"/>
      <c r="B61" s="82"/>
      <c r="C61" s="81"/>
      <c r="D61" s="82"/>
      <c r="E61" s="81"/>
      <c r="F61" s="83"/>
      <c r="G61" s="83"/>
      <c r="H61" s="84"/>
      <c r="I61" s="84"/>
      <c r="J61" s="84"/>
      <c r="K61" s="83"/>
      <c r="L61" s="83"/>
      <c r="M61" s="85"/>
      <c r="N61" s="83"/>
      <c r="O61" s="83"/>
      <c r="P61" s="83"/>
      <c r="Q61" s="83"/>
      <c r="R61" s="83"/>
      <c r="S61" s="83"/>
      <c r="T61" s="81"/>
      <c r="U61" s="86"/>
      <c r="V61" s="86"/>
      <c r="W61" s="86"/>
    </row>
    <row r="62" ht="17.45" customHeight="1" spans="1:23" x14ac:dyDescent="0.25">
      <c r="A62" s="81"/>
      <c r="B62" s="82"/>
      <c r="C62" s="81"/>
      <c r="D62" s="82"/>
      <c r="E62" s="81"/>
      <c r="F62" s="83"/>
      <c r="G62" s="83"/>
      <c r="H62" s="84"/>
      <c r="I62" s="84"/>
      <c r="J62" s="84"/>
      <c r="K62" s="83"/>
      <c r="L62" s="83"/>
      <c r="M62" s="85"/>
      <c r="N62" s="83"/>
      <c r="O62" s="83"/>
      <c r="P62" s="83"/>
      <c r="Q62" s="83"/>
      <c r="R62" s="83"/>
      <c r="S62" s="83"/>
      <c r="T62" s="81"/>
      <c r="U62" s="86"/>
      <c r="V62" s="86"/>
      <c r="W62" s="86"/>
    </row>
    <row r="63" ht="17.45" customHeight="1" spans="1:23" x14ac:dyDescent="0.25">
      <c r="A63" s="81"/>
      <c r="B63" s="82"/>
      <c r="C63" s="81"/>
      <c r="D63" s="82"/>
      <c r="E63" s="81"/>
      <c r="F63" s="83"/>
      <c r="G63" s="83"/>
      <c r="H63" s="84"/>
      <c r="I63" s="84"/>
      <c r="J63" s="84"/>
      <c r="K63" s="83"/>
      <c r="L63" s="83"/>
      <c r="M63" s="85"/>
      <c r="N63" s="83"/>
      <c r="O63" s="83"/>
      <c r="P63" s="83"/>
      <c r="Q63" s="83"/>
      <c r="R63" s="83"/>
      <c r="S63" s="83"/>
      <c r="T63" s="81"/>
      <c r="U63" s="86"/>
      <c r="V63" s="86"/>
      <c r="W63" s="86"/>
    </row>
    <row r="64" ht="16.5" customHeight="1" spans="1:23" x14ac:dyDescent="0.25">
      <c r="A64" s="81"/>
      <c r="B64" s="82"/>
      <c r="C64" s="81"/>
      <c r="D64" s="82"/>
      <c r="E64" s="81"/>
      <c r="F64" s="93"/>
      <c r="G64" s="83"/>
      <c r="H64" s="84"/>
      <c r="I64" s="84"/>
      <c r="J64" s="84"/>
      <c r="K64" s="83"/>
      <c r="L64" s="83"/>
      <c r="M64" s="85"/>
      <c r="N64" s="83"/>
      <c r="O64" s="83"/>
      <c r="P64" s="83"/>
      <c r="Q64" s="83"/>
      <c r="R64" s="83"/>
      <c r="S64" s="83"/>
      <c r="T64" s="81"/>
      <c r="U64" s="86"/>
      <c r="V64" s="86"/>
      <c r="W64" s="86"/>
    </row>
    <row r="65" ht="16.5" customHeight="1" spans="1:23" x14ac:dyDescent="0.25">
      <c r="A65" s="81"/>
      <c r="B65" s="82"/>
      <c r="C65" s="81"/>
      <c r="D65" s="82"/>
      <c r="E65" s="81"/>
      <c r="F65" s="93"/>
      <c r="G65" s="83"/>
      <c r="H65" s="84"/>
      <c r="I65" s="84"/>
      <c r="J65" s="84"/>
      <c r="K65" s="83"/>
      <c r="L65" s="83"/>
      <c r="M65" s="85"/>
      <c r="N65" s="83"/>
      <c r="O65" s="83"/>
      <c r="P65" s="83"/>
      <c r="Q65" s="83"/>
      <c r="R65" s="83"/>
      <c r="S65" s="83"/>
      <c r="T65" s="81"/>
      <c r="U65" s="86"/>
      <c r="V65" s="86"/>
      <c r="W65" s="86"/>
    </row>
    <row r="66" ht="16.5" customHeight="1" spans="1:23" x14ac:dyDescent="0.25">
      <c r="A66" s="81"/>
      <c r="B66" s="82"/>
      <c r="C66" s="81"/>
      <c r="D66" s="82"/>
      <c r="E66" s="81"/>
      <c r="F66" s="93"/>
      <c r="G66" s="83"/>
      <c r="H66" s="84"/>
      <c r="I66" s="84"/>
      <c r="J66" s="84"/>
      <c r="K66" s="83"/>
      <c r="L66" s="83"/>
      <c r="M66" s="85"/>
      <c r="N66" s="83"/>
      <c r="O66" s="83"/>
      <c r="P66" s="83"/>
      <c r="Q66" s="83"/>
      <c r="R66" s="83"/>
      <c r="S66" s="83"/>
      <c r="T66" s="81"/>
      <c r="U66" s="86"/>
      <c r="V66" s="86"/>
      <c r="W66" s="86"/>
    </row>
    <row r="67" spans="1:20" s="86" customFormat="1" x14ac:dyDescent="0.25">
      <c r="A67" s="81"/>
      <c r="B67" s="82"/>
      <c r="C67" s="81"/>
      <c r="D67" s="82"/>
      <c r="E67" s="81"/>
      <c r="F67" s="94"/>
      <c r="G67" s="94"/>
      <c r="H67" s="84"/>
      <c r="I67" s="84"/>
      <c r="J67" s="84"/>
      <c r="K67" s="83"/>
      <c r="L67" s="83"/>
      <c r="M67" s="85"/>
      <c r="N67" s="83"/>
      <c r="O67" s="83"/>
      <c r="P67" s="83"/>
      <c r="Q67" s="83"/>
      <c r="R67" s="83"/>
      <c r="S67" s="83"/>
      <c r="T67" s="81"/>
    </row>
    <row r="68" spans="1:20" s="86" customFormat="1" x14ac:dyDescent="0.25">
      <c r="A68" s="81"/>
      <c r="B68" s="82"/>
      <c r="C68" s="81"/>
      <c r="D68" s="82"/>
      <c r="E68" s="81"/>
      <c r="F68" s="94"/>
      <c r="G68" s="94"/>
      <c r="H68" s="84"/>
      <c r="I68" s="84"/>
      <c r="J68" s="84"/>
      <c r="K68" s="83"/>
      <c r="L68" s="83"/>
      <c r="M68" s="85"/>
      <c r="N68" s="83"/>
      <c r="O68" s="83"/>
      <c r="P68" s="83"/>
      <c r="Q68" s="83"/>
      <c r="R68" s="83"/>
      <c r="S68" s="83"/>
      <c r="T68" s="81"/>
    </row>
    <row r="69" spans="1:21" s="87" customFormat="1" x14ac:dyDescent="0.25">
      <c r="A69" s="81"/>
      <c r="B69" s="82"/>
      <c r="C69" s="81"/>
      <c r="D69" s="82"/>
      <c r="E69" s="81"/>
      <c r="F69" s="83"/>
      <c r="G69" s="83"/>
      <c r="H69" s="84"/>
      <c r="I69" s="84"/>
      <c r="J69" s="84"/>
      <c r="K69" s="83"/>
      <c r="L69" s="83"/>
      <c r="M69" s="95"/>
      <c r="N69" s="95"/>
      <c r="O69" s="83"/>
      <c r="P69" s="95"/>
      <c r="Q69" s="95"/>
      <c r="R69" s="83"/>
      <c r="S69" s="95"/>
      <c r="T69" s="96"/>
      <c r="U69" s="86"/>
    </row>
    <row r="70" spans="1:20" s="86" customFormat="1" x14ac:dyDescent="0.25">
      <c r="A70" s="81"/>
      <c r="B70" s="82"/>
      <c r="C70" s="81"/>
      <c r="D70" s="82"/>
      <c r="E70" s="81"/>
      <c r="F70" s="83"/>
      <c r="G70" s="83"/>
      <c r="H70" s="84"/>
      <c r="I70" s="84"/>
      <c r="J70" s="84"/>
      <c r="K70" s="83"/>
      <c r="L70" s="83"/>
      <c r="M70" s="83"/>
      <c r="N70" s="83"/>
      <c r="O70" s="83"/>
      <c r="P70" s="83"/>
      <c r="Q70" s="83"/>
      <c r="R70" s="83"/>
      <c r="S70" s="83"/>
      <c r="T70" s="81"/>
    </row>
    <row r="71" spans="1:20" s="86" customFormat="1" x14ac:dyDescent="0.25">
      <c r="A71" s="81"/>
      <c r="B71" s="82"/>
      <c r="C71" s="81"/>
      <c r="D71" s="82"/>
      <c r="E71" s="81"/>
      <c r="F71" s="83"/>
      <c r="G71" s="83"/>
      <c r="H71" s="84"/>
      <c r="I71" s="84"/>
      <c r="J71" s="84"/>
      <c r="K71" s="83"/>
      <c r="L71" s="83"/>
      <c r="M71" s="85"/>
      <c r="N71" s="83"/>
      <c r="O71" s="83"/>
      <c r="P71" s="83"/>
      <c r="Q71" s="83"/>
      <c r="R71" s="83"/>
      <c r="S71" s="83"/>
      <c r="T71" s="81"/>
    </row>
    <row r="72" spans="1:20" s="86" customFormat="1" x14ac:dyDescent="0.25">
      <c r="A72" s="81"/>
      <c r="B72" s="82"/>
      <c r="C72" s="81"/>
      <c r="D72" s="82"/>
      <c r="E72" s="81"/>
      <c r="F72" s="83"/>
      <c r="G72" s="83"/>
      <c r="H72" s="84"/>
      <c r="I72" s="84"/>
      <c r="J72" s="84"/>
      <c r="K72" s="83"/>
      <c r="L72" s="83"/>
      <c r="M72" s="85"/>
      <c r="N72" s="83"/>
      <c r="O72" s="83"/>
      <c r="P72" s="83"/>
      <c r="Q72" s="83"/>
      <c r="R72" s="83"/>
      <c r="S72" s="83"/>
      <c r="T72" s="81"/>
    </row>
    <row r="73" spans="1:22" s="87" customFormat="1" x14ac:dyDescent="0.25">
      <c r="A73" s="81"/>
      <c r="B73" s="82"/>
      <c r="C73" s="81"/>
      <c r="D73" s="82"/>
      <c r="E73" s="81"/>
      <c r="F73" s="83"/>
      <c r="G73" s="83"/>
      <c r="H73" s="92"/>
      <c r="I73" s="84"/>
      <c r="J73" s="84"/>
      <c r="K73" s="83"/>
      <c r="L73" s="83"/>
      <c r="M73" s="85"/>
      <c r="N73" s="83"/>
      <c r="O73" s="83"/>
      <c r="P73" s="83"/>
      <c r="Q73" s="83"/>
      <c r="R73" s="83"/>
      <c r="S73" s="83"/>
      <c r="T73" s="96"/>
      <c r="U73" s="1"/>
      <c r="V73" s="86"/>
    </row>
    <row r="74" spans="1:23" x14ac:dyDescent="0.25">
      <c r="A74" s="81"/>
      <c r="B74" s="82"/>
      <c r="C74" s="81"/>
      <c r="D74" s="82"/>
      <c r="E74" s="81"/>
      <c r="F74" s="83"/>
      <c r="G74" s="83"/>
      <c r="H74" s="84"/>
      <c r="I74" s="84"/>
      <c r="J74" s="84"/>
      <c r="K74" s="83"/>
      <c r="L74" s="83"/>
      <c r="M74" s="85"/>
      <c r="N74" s="83"/>
      <c r="O74" s="83"/>
      <c r="P74" s="83"/>
      <c r="Q74" s="83"/>
      <c r="R74" s="83"/>
      <c r="S74" s="83"/>
      <c r="T74" s="81"/>
      <c r="U74" s="86"/>
      <c r="V74" s="86"/>
      <c r="W74" s="86"/>
    </row>
    <row r="75" spans="1:23" x14ac:dyDescent="0.25">
      <c r="A75" s="81"/>
      <c r="B75" s="82"/>
      <c r="C75" s="81"/>
      <c r="D75" s="82"/>
      <c r="E75" s="81"/>
      <c r="F75" s="83"/>
      <c r="G75" s="83"/>
      <c r="H75" s="84"/>
      <c r="I75" s="84"/>
      <c r="J75" s="84"/>
      <c r="K75" s="83"/>
      <c r="L75" s="83"/>
      <c r="M75" s="85"/>
      <c r="N75" s="83"/>
      <c r="O75" s="83"/>
      <c r="P75" s="83"/>
      <c r="Q75" s="83"/>
      <c r="R75" s="83"/>
      <c r="S75" s="83"/>
      <c r="T75" s="81"/>
      <c r="U75" s="86"/>
      <c r="V75" s="86"/>
      <c r="W75" s="86"/>
    </row>
    <row r="76" ht="18" customHeight="1" spans="1:22" s="86" customFormat="1" x14ac:dyDescent="0.25">
      <c r="A76" s="81"/>
      <c r="B76" s="82"/>
      <c r="C76" s="81"/>
      <c r="D76" s="82"/>
      <c r="E76" s="81"/>
      <c r="F76" s="83"/>
      <c r="G76" s="83"/>
      <c r="H76" s="84"/>
      <c r="I76" s="84"/>
      <c r="J76" s="84"/>
      <c r="K76" s="83"/>
      <c r="L76" s="83"/>
      <c r="M76" s="85"/>
      <c r="N76" s="83"/>
      <c r="O76" s="83"/>
      <c r="P76" s="83"/>
      <c r="Q76" s="83"/>
      <c r="R76" s="83"/>
      <c r="S76" s="83"/>
      <c r="T76" s="81"/>
      <c r="V76" s="86"/>
    </row>
    <row r="77" ht="18" customHeight="1" spans="1:22" s="86" customFormat="1" x14ac:dyDescent="0.25">
      <c r="A77" s="81"/>
      <c r="B77" s="82"/>
      <c r="C77" s="81"/>
      <c r="D77" s="82"/>
      <c r="E77" s="81"/>
      <c r="F77" s="83"/>
      <c r="G77" s="83"/>
      <c r="H77" s="84"/>
      <c r="I77" s="84"/>
      <c r="J77" s="84"/>
      <c r="K77" s="83"/>
      <c r="L77" s="83"/>
      <c r="M77" s="85"/>
      <c r="N77" s="83"/>
      <c r="O77" s="83"/>
      <c r="P77" s="83"/>
      <c r="Q77" s="83"/>
      <c r="R77" s="83"/>
      <c r="S77" s="83"/>
      <c r="T77" s="81"/>
      <c r="V77" s="86"/>
    </row>
    <row r="78" spans="1:23" x14ac:dyDescent="0.25">
      <c r="A78" s="81"/>
      <c r="B78" s="82"/>
      <c r="C78" s="81"/>
      <c r="D78" s="82"/>
      <c r="E78" s="81"/>
      <c r="F78" s="83"/>
      <c r="G78" s="83"/>
      <c r="H78" s="84"/>
      <c r="I78" s="84"/>
      <c r="J78" s="84"/>
      <c r="K78" s="83"/>
      <c r="L78" s="83"/>
      <c r="M78" s="85"/>
      <c r="N78" s="83"/>
      <c r="O78" s="83"/>
      <c r="P78" s="83"/>
      <c r="Q78" s="83"/>
      <c r="R78" s="83"/>
      <c r="S78" s="83"/>
      <c r="T78" s="81"/>
      <c r="U78" s="86"/>
      <c r="V78" s="86"/>
      <c r="W78" s="86"/>
    </row>
    <row r="79" spans="1:23" s="87" customFormat="1" x14ac:dyDescent="0.25">
      <c r="A79" s="81"/>
      <c r="B79" s="82"/>
      <c r="C79" s="81"/>
      <c r="D79" s="82"/>
      <c r="E79" s="81"/>
      <c r="F79" s="83"/>
      <c r="G79" s="83"/>
      <c r="H79" s="84"/>
      <c r="I79" s="84"/>
      <c r="J79" s="84"/>
      <c r="K79" s="83"/>
      <c r="L79" s="83"/>
      <c r="M79" s="85"/>
      <c r="N79" s="83"/>
      <c r="O79" s="83"/>
      <c r="P79" s="83"/>
      <c r="Q79" s="83"/>
      <c r="R79" s="83"/>
      <c r="S79" s="83"/>
      <c r="T79" s="81"/>
      <c r="U79" s="86"/>
      <c r="V79" s="86"/>
      <c r="W79" s="86"/>
    </row>
    <row r="80" spans="1:23" s="87" customFormat="1" x14ac:dyDescent="0.25">
      <c r="A80" s="81"/>
      <c r="B80" s="82"/>
      <c r="C80" s="81"/>
      <c r="D80" s="82"/>
      <c r="E80" s="81"/>
      <c r="F80" s="83"/>
      <c r="G80" s="83"/>
      <c r="H80" s="84"/>
      <c r="I80" s="84"/>
      <c r="J80" s="84"/>
      <c r="K80" s="83"/>
      <c r="L80" s="83"/>
      <c r="M80" s="85"/>
      <c r="N80" s="83"/>
      <c r="O80" s="83"/>
      <c r="P80" s="83"/>
      <c r="Q80" s="83"/>
      <c r="R80" s="83"/>
      <c r="S80" s="83"/>
      <c r="T80" s="81"/>
      <c r="U80" s="86"/>
      <c r="V80" s="86"/>
      <c r="W80" s="86"/>
    </row>
    <row r="81" ht="18.6" customHeight="1" spans="1:22" s="86" customFormat="1" x14ac:dyDescent="0.25">
      <c r="A81" s="81"/>
      <c r="B81" s="82"/>
      <c r="C81" s="81"/>
      <c r="D81" s="82"/>
      <c r="E81" s="81"/>
      <c r="F81" s="83"/>
      <c r="G81" s="83"/>
      <c r="H81" s="84"/>
      <c r="I81" s="84"/>
      <c r="J81" s="84"/>
      <c r="K81" s="83"/>
      <c r="L81" s="83"/>
      <c r="M81" s="83"/>
      <c r="N81" s="83"/>
      <c r="O81" s="83"/>
      <c r="P81" s="83"/>
      <c r="Q81" s="83"/>
      <c r="R81" s="83"/>
      <c r="S81" s="83"/>
      <c r="T81" s="81"/>
      <c r="V81" s="86"/>
    </row>
    <row r="82" ht="18.6" customHeight="1" spans="1:22" s="87" customFormat="1" x14ac:dyDescent="0.25">
      <c r="A82" s="81"/>
      <c r="B82" s="82"/>
      <c r="C82" s="81"/>
      <c r="D82" s="82"/>
      <c r="E82" s="81"/>
      <c r="F82" s="83"/>
      <c r="G82" s="83"/>
      <c r="H82" s="84"/>
      <c r="I82" s="84"/>
      <c r="J82" s="84"/>
      <c r="K82" s="83"/>
      <c r="L82" s="83"/>
      <c r="M82" s="83"/>
      <c r="N82" s="83"/>
      <c r="O82" s="83"/>
      <c r="P82" s="83"/>
      <c r="Q82" s="83"/>
      <c r="R82" s="83"/>
      <c r="S82" s="83"/>
      <c r="T82" s="96"/>
      <c r="U82" s="86"/>
      <c r="V82" s="87"/>
    </row>
    <row r="83" ht="18.6" customHeight="1" spans="1:22" s="86" customFormat="1" x14ac:dyDescent="0.25">
      <c r="A83" s="81"/>
      <c r="B83" s="82"/>
      <c r="C83" s="81"/>
      <c r="D83" s="82"/>
      <c r="E83" s="81"/>
      <c r="F83" s="83"/>
      <c r="G83" s="83"/>
      <c r="H83" s="84"/>
      <c r="I83" s="84"/>
      <c r="J83" s="84"/>
      <c r="K83" s="83"/>
      <c r="L83" s="83"/>
      <c r="M83" s="85"/>
      <c r="N83" s="83"/>
      <c r="O83" s="83"/>
      <c r="P83" s="83"/>
      <c r="Q83" s="83"/>
      <c r="R83" s="83"/>
      <c r="S83" s="83"/>
      <c r="T83" s="81"/>
      <c r="V83" s="86"/>
    </row>
    <row r="84" ht="18.6" customHeight="1" spans="1:24" s="86" customFormat="1" x14ac:dyDescent="0.25">
      <c r="A84" s="81"/>
      <c r="B84" s="82"/>
      <c r="C84" s="81"/>
      <c r="D84" s="82"/>
      <c r="E84" s="81"/>
      <c r="F84" s="83"/>
      <c r="G84" s="83"/>
      <c r="H84" s="84"/>
      <c r="I84" s="84"/>
      <c r="J84" s="84"/>
      <c r="K84" s="83"/>
      <c r="L84" s="83"/>
      <c r="M84" s="85"/>
      <c r="N84" s="83"/>
      <c r="O84" s="83"/>
      <c r="P84" s="83"/>
      <c r="Q84" s="83"/>
      <c r="R84" s="83"/>
      <c r="S84" s="83"/>
      <c r="T84" s="81"/>
      <c r="V84" s="86"/>
      <c r="X84" s="1"/>
    </row>
    <row r="85" ht="16.5" customHeight="1" spans="1:23" x14ac:dyDescent="0.25">
      <c r="A85" s="81"/>
      <c r="B85" s="82"/>
      <c r="C85" s="81"/>
      <c r="D85" s="82"/>
      <c r="E85" s="97"/>
      <c r="F85" s="83"/>
      <c r="G85" s="83"/>
      <c r="H85" s="84"/>
      <c r="I85" s="84"/>
      <c r="J85" s="84"/>
      <c r="K85" s="83"/>
      <c r="L85" s="83"/>
      <c r="M85" s="85"/>
      <c r="N85" s="83"/>
      <c r="O85" s="83"/>
      <c r="P85" s="83"/>
      <c r="Q85" s="83"/>
      <c r="R85" s="83"/>
      <c r="S85" s="83"/>
      <c r="T85" s="81"/>
      <c r="U85" s="86"/>
      <c r="V85" s="86"/>
      <c r="W85" s="86"/>
    </row>
    <row r="86" ht="16.5" customHeight="1" spans="1:23" x14ac:dyDescent="0.25">
      <c r="A86" s="81"/>
      <c r="B86" s="82"/>
      <c r="C86" s="81"/>
      <c r="D86" s="82"/>
      <c r="E86" s="97"/>
      <c r="F86" s="83"/>
      <c r="G86" s="83"/>
      <c r="H86" s="84"/>
      <c r="I86" s="84"/>
      <c r="J86" s="84"/>
      <c r="K86" s="83"/>
      <c r="L86" s="83"/>
      <c r="M86" s="85"/>
      <c r="N86" s="83"/>
      <c r="O86" s="83"/>
      <c r="P86" s="83"/>
      <c r="Q86" s="83"/>
      <c r="R86" s="83"/>
      <c r="S86" s="83"/>
      <c r="T86" s="81"/>
      <c r="U86" s="86"/>
      <c r="V86" s="86"/>
      <c r="W86" s="86"/>
    </row>
    <row r="87" ht="18.6" customHeight="1" spans="1:24" s="86" customFormat="1" x14ac:dyDescent="0.25">
      <c r="A87" s="81"/>
      <c r="B87" s="82"/>
      <c r="C87" s="81"/>
      <c r="D87" s="82"/>
      <c r="E87" s="97"/>
      <c r="F87" s="83"/>
      <c r="G87" s="83"/>
      <c r="H87" s="84"/>
      <c r="I87" s="84"/>
      <c r="J87" s="84"/>
      <c r="K87" s="83"/>
      <c r="L87" s="83"/>
      <c r="M87" s="85"/>
      <c r="N87" s="83"/>
      <c r="O87" s="83"/>
      <c r="P87" s="83"/>
      <c r="Q87" s="83"/>
      <c r="R87" s="83"/>
      <c r="S87" s="83"/>
      <c r="T87" s="81"/>
      <c r="U87" s="98"/>
      <c r="V87" s="86"/>
      <c r="X87" s="1"/>
    </row>
    <row r="88" ht="18.6" customHeight="1" spans="1:24" s="86" customFormat="1" x14ac:dyDescent="0.25">
      <c r="A88" s="81"/>
      <c r="B88" s="82"/>
      <c r="C88" s="81"/>
      <c r="D88" s="82"/>
      <c r="E88" s="97"/>
      <c r="F88" s="83"/>
      <c r="G88" s="83"/>
      <c r="H88" s="84"/>
      <c r="I88" s="84"/>
      <c r="J88" s="84"/>
      <c r="K88" s="83"/>
      <c r="L88" s="83"/>
      <c r="M88" s="85"/>
      <c r="N88" s="83"/>
      <c r="O88" s="83"/>
      <c r="P88" s="83"/>
      <c r="Q88" s="83"/>
      <c r="R88" s="83"/>
      <c r="S88" s="83"/>
      <c r="T88" s="81"/>
      <c r="U88" s="99"/>
      <c r="V88" s="86"/>
      <c r="X88" s="1"/>
    </row>
    <row r="89" ht="18.6" customHeight="1" spans="1:23" x14ac:dyDescent="0.25">
      <c r="A89" s="81"/>
      <c r="B89" s="82"/>
      <c r="C89" s="81"/>
      <c r="D89" s="82"/>
      <c r="E89" s="97"/>
      <c r="F89" s="83"/>
      <c r="G89" s="83"/>
      <c r="H89" s="84"/>
      <c r="I89" s="84"/>
      <c r="J89" s="84"/>
      <c r="K89" s="83"/>
      <c r="L89" s="83"/>
      <c r="M89" s="85"/>
      <c r="N89" s="83"/>
      <c r="O89" s="83"/>
      <c r="P89" s="83"/>
      <c r="Q89" s="83"/>
      <c r="R89" s="83"/>
      <c r="S89" s="83"/>
      <c r="T89" s="81"/>
      <c r="U89" s="86"/>
      <c r="V89" s="86"/>
      <c r="W89" s="86"/>
    </row>
    <row r="90" ht="18.6" customHeight="1" spans="1:22" s="86" customFormat="1" x14ac:dyDescent="0.25">
      <c r="A90" s="81"/>
      <c r="B90" s="82"/>
      <c r="C90" s="81"/>
      <c r="D90" s="82"/>
      <c r="E90" s="97"/>
      <c r="F90" s="81"/>
      <c r="G90" s="83"/>
      <c r="H90" s="84"/>
      <c r="I90" s="84"/>
      <c r="J90" s="84"/>
      <c r="K90" s="83"/>
      <c r="L90" s="83"/>
      <c r="M90" s="83"/>
      <c r="N90" s="83"/>
      <c r="O90" s="83"/>
      <c r="P90" s="83"/>
      <c r="Q90" s="83"/>
      <c r="R90" s="83"/>
      <c r="S90" s="83"/>
      <c r="T90" s="81"/>
      <c r="V90" s="86"/>
    </row>
    <row r="91" ht="18.6" customHeight="1" spans="1:22" s="86" customFormat="1" x14ac:dyDescent="0.25">
      <c r="A91" s="81"/>
      <c r="B91" s="82"/>
      <c r="C91" s="81"/>
      <c r="D91" s="82"/>
      <c r="E91" s="97"/>
      <c r="F91" s="81"/>
      <c r="G91" s="83"/>
      <c r="H91" s="84"/>
      <c r="I91" s="84"/>
      <c r="J91" s="84"/>
      <c r="K91" s="83"/>
      <c r="L91" s="83"/>
      <c r="M91" s="83"/>
      <c r="N91" s="83"/>
      <c r="O91" s="83"/>
      <c r="P91" s="83"/>
      <c r="Q91" s="83"/>
      <c r="R91" s="83"/>
      <c r="S91" s="83"/>
      <c r="T91" s="81"/>
      <c r="V91" s="86"/>
    </row>
    <row r="92" ht="18" customHeight="1" spans="1:22" s="86" customFormat="1" x14ac:dyDescent="0.25">
      <c r="A92" s="81"/>
      <c r="B92" s="82"/>
      <c r="C92" s="81"/>
      <c r="D92" s="82"/>
      <c r="E92" s="97"/>
      <c r="F92" s="83"/>
      <c r="G92" s="83"/>
      <c r="H92" s="84"/>
      <c r="I92" s="84"/>
      <c r="J92" s="84"/>
      <c r="K92" s="83"/>
      <c r="L92" s="83"/>
      <c r="M92" s="83"/>
      <c r="N92" s="83"/>
      <c r="O92" s="83"/>
      <c r="P92" s="83"/>
      <c r="Q92" s="83"/>
      <c r="R92" s="83"/>
      <c r="S92" s="83"/>
      <c r="T92" s="81"/>
      <c r="V92" s="86"/>
    </row>
    <row r="93" ht="18" customHeight="1" spans="1:22" s="86" customFormat="1" x14ac:dyDescent="0.25">
      <c r="A93" s="81"/>
      <c r="B93" s="82"/>
      <c r="C93" s="81"/>
      <c r="D93" s="82"/>
      <c r="E93" s="97"/>
      <c r="F93" s="83"/>
      <c r="G93" s="83"/>
      <c r="H93" s="84"/>
      <c r="I93" s="84"/>
      <c r="J93" s="84"/>
      <c r="K93" s="83"/>
      <c r="L93" s="83"/>
      <c r="M93" s="83"/>
      <c r="N93" s="83"/>
      <c r="O93" s="83"/>
      <c r="P93" s="83"/>
      <c r="Q93" s="83"/>
      <c r="R93" s="83"/>
      <c r="S93" s="83"/>
      <c r="T93" s="81"/>
      <c r="V93" s="86"/>
    </row>
    <row r="94" ht="18" customHeight="1" spans="1:24" s="86" customFormat="1" x14ac:dyDescent="0.25">
      <c r="A94" s="81"/>
      <c r="B94" s="82"/>
      <c r="C94" s="81"/>
      <c r="D94" s="82"/>
      <c r="E94" s="97"/>
      <c r="F94" s="83"/>
      <c r="G94" s="83"/>
      <c r="H94" s="84"/>
      <c r="I94" s="84"/>
      <c r="J94" s="84"/>
      <c r="K94" s="83"/>
      <c r="L94" s="83"/>
      <c r="M94" s="85"/>
      <c r="N94" s="83"/>
      <c r="O94" s="83"/>
      <c r="P94" s="83"/>
      <c r="Q94" s="83"/>
      <c r="R94" s="83"/>
      <c r="S94" s="83"/>
      <c r="T94" s="81"/>
      <c r="V94" s="86"/>
      <c r="X94" s="1"/>
    </row>
    <row r="95" spans="1:24" s="86" customFormat="1" x14ac:dyDescent="0.25">
      <c r="A95" s="81"/>
      <c r="B95" s="82"/>
      <c r="C95" s="81"/>
      <c r="D95" s="82"/>
      <c r="E95" s="97"/>
      <c r="F95" s="83"/>
      <c r="G95" s="83"/>
      <c r="H95" s="84"/>
      <c r="I95" s="84"/>
      <c r="J95" s="84"/>
      <c r="K95" s="83"/>
      <c r="L95" s="83"/>
      <c r="M95" s="85"/>
      <c r="N95" s="83"/>
      <c r="O95" s="83"/>
      <c r="P95" s="83"/>
      <c r="Q95" s="83"/>
      <c r="R95" s="83"/>
      <c r="S95" s="83"/>
      <c r="T95" s="81"/>
      <c r="V95" s="86"/>
      <c r="X95" s="1"/>
    </row>
    <row r="96" ht="18.6" customHeight="1" spans="1:23" x14ac:dyDescent="0.25">
      <c r="A96" s="81"/>
      <c r="B96" s="82"/>
      <c r="C96" s="81"/>
      <c r="D96" s="82"/>
      <c r="E96" s="97"/>
      <c r="F96" s="83"/>
      <c r="G96" s="83"/>
      <c r="H96" s="84"/>
      <c r="I96" s="84"/>
      <c r="J96" s="84"/>
      <c r="K96" s="83"/>
      <c r="L96" s="83"/>
      <c r="M96" s="85"/>
      <c r="N96" s="83"/>
      <c r="O96" s="83"/>
      <c r="P96" s="83"/>
      <c r="Q96" s="83"/>
      <c r="R96" s="83"/>
      <c r="S96" s="83"/>
      <c r="T96" s="81"/>
      <c r="U96" s="86"/>
      <c r="V96" s="86"/>
      <c r="W96" s="86"/>
    </row>
    <row r="97" ht="18.6" customHeight="1" spans="1:23" x14ac:dyDescent="0.25">
      <c r="A97" s="81"/>
      <c r="B97" s="82"/>
      <c r="C97" s="81"/>
      <c r="D97" s="82"/>
      <c r="E97" s="97"/>
      <c r="F97" s="83"/>
      <c r="G97" s="83"/>
      <c r="H97" s="84"/>
      <c r="I97" s="84"/>
      <c r="J97" s="84"/>
      <c r="K97" s="83"/>
      <c r="L97" s="83"/>
      <c r="M97" s="85"/>
      <c r="N97" s="83"/>
      <c r="O97" s="83"/>
      <c r="P97" s="83"/>
      <c r="Q97" s="83"/>
      <c r="R97" s="83"/>
      <c r="S97" s="83"/>
      <c r="T97" s="81"/>
      <c r="U97" s="98"/>
      <c r="V97" s="86"/>
      <c r="W97" s="100"/>
    </row>
    <row r="98" ht="18.6" customHeight="1" spans="1:23" x14ac:dyDescent="0.25">
      <c r="A98" s="81"/>
      <c r="B98" s="82"/>
      <c r="C98" s="81"/>
      <c r="D98" s="82"/>
      <c r="E98" s="97"/>
      <c r="F98" s="83"/>
      <c r="G98" s="83"/>
      <c r="H98" s="84"/>
      <c r="I98" s="84"/>
      <c r="J98" s="84"/>
      <c r="K98" s="83"/>
      <c r="L98" s="83"/>
      <c r="M98" s="85"/>
      <c r="N98" s="83"/>
      <c r="O98" s="83"/>
      <c r="P98" s="83"/>
      <c r="Q98" s="83"/>
      <c r="R98" s="83"/>
      <c r="S98" s="83"/>
      <c r="T98" s="81"/>
      <c r="U98" s="86"/>
      <c r="V98" s="86"/>
      <c r="W98" s="86"/>
    </row>
    <row r="99" ht="18.6" customHeight="1" spans="1:24" s="86" customFormat="1" x14ac:dyDescent="0.25">
      <c r="A99" s="81"/>
      <c r="B99" s="82"/>
      <c r="C99" s="81"/>
      <c r="D99" s="82"/>
      <c r="E99" s="97"/>
      <c r="F99" s="83"/>
      <c r="G99" s="83"/>
      <c r="H99" s="84"/>
      <c r="I99" s="84"/>
      <c r="J99" s="84"/>
      <c r="K99" s="83"/>
      <c r="L99" s="83"/>
      <c r="M99" s="85"/>
      <c r="N99" s="83"/>
      <c r="O99" s="83"/>
      <c r="P99" s="83"/>
      <c r="Q99" s="83"/>
      <c r="R99" s="83"/>
      <c r="S99" s="83"/>
      <c r="T99" s="81"/>
      <c r="V99" s="86"/>
      <c r="X99" s="1"/>
    </row>
    <row r="100" ht="18.6" customHeight="1" spans="1:24" s="86" customFormat="1" x14ac:dyDescent="0.25">
      <c r="A100" s="81"/>
      <c r="B100" s="82"/>
      <c r="C100" s="81"/>
      <c r="D100" s="82"/>
      <c r="E100" s="97"/>
      <c r="F100" s="83"/>
      <c r="G100" s="83"/>
      <c r="H100" s="84"/>
      <c r="I100" s="84"/>
      <c r="J100" s="84"/>
      <c r="K100" s="94"/>
      <c r="L100" s="83"/>
      <c r="M100" s="85"/>
      <c r="N100" s="83"/>
      <c r="O100" s="83"/>
      <c r="P100" s="83"/>
      <c r="Q100" s="83"/>
      <c r="R100" s="83"/>
      <c r="S100" s="83"/>
      <c r="T100" s="81"/>
      <c r="V100" s="86"/>
      <c r="X100" s="1"/>
    </row>
    <row r="101" spans="1:23" x14ac:dyDescent="0.25">
      <c r="A101" s="81"/>
      <c r="B101" s="82"/>
      <c r="C101" s="81"/>
      <c r="D101" s="82"/>
      <c r="E101" s="97"/>
      <c r="F101" s="83"/>
      <c r="G101" s="83"/>
      <c r="H101" s="84"/>
      <c r="I101" s="84"/>
      <c r="J101" s="84"/>
      <c r="K101" s="94"/>
      <c r="L101" s="83"/>
      <c r="M101" s="85"/>
      <c r="N101" s="83"/>
      <c r="O101" s="83"/>
      <c r="P101" s="83"/>
      <c r="Q101" s="83"/>
      <c r="R101" s="83"/>
      <c r="S101" s="83"/>
      <c r="T101" s="81"/>
      <c r="U101" s="86"/>
      <c r="V101" s="86"/>
      <c r="W101" s="86"/>
    </row>
    <row r="102" ht="18" customHeight="1" spans="1:23" x14ac:dyDescent="0.25">
      <c r="A102" s="81"/>
      <c r="B102" s="82"/>
      <c r="C102" s="81"/>
      <c r="D102" s="82"/>
      <c r="E102" s="97"/>
      <c r="F102" s="83"/>
      <c r="G102" s="83"/>
      <c r="H102" s="84"/>
      <c r="I102" s="84"/>
      <c r="J102" s="84"/>
      <c r="K102" s="83"/>
      <c r="L102" s="83"/>
      <c r="M102" s="85"/>
      <c r="N102" s="83"/>
      <c r="O102" s="83"/>
      <c r="P102" s="83"/>
      <c r="Q102" s="83"/>
      <c r="R102" s="83"/>
      <c r="S102" s="83"/>
      <c r="T102" s="81"/>
      <c r="U102" s="86"/>
      <c r="V102" s="86"/>
      <c r="W102" s="86"/>
    </row>
    <row r="103" ht="18.6" customHeight="1" spans="1:23" x14ac:dyDescent="0.25">
      <c r="A103" s="81"/>
      <c r="B103" s="82"/>
      <c r="C103" s="81"/>
      <c r="D103" s="82"/>
      <c r="E103" s="97"/>
      <c r="F103" s="83"/>
      <c r="G103" s="83"/>
      <c r="H103" s="84"/>
      <c r="I103" s="84"/>
      <c r="J103" s="84"/>
      <c r="K103" s="83"/>
      <c r="L103" s="83"/>
      <c r="M103" s="85"/>
      <c r="N103" s="83"/>
      <c r="O103" s="83"/>
      <c r="P103" s="83"/>
      <c r="Q103" s="83"/>
      <c r="R103" s="83"/>
      <c r="S103" s="83"/>
      <c r="T103" s="81"/>
      <c r="U103" s="86"/>
      <c r="V103" s="86"/>
      <c r="W103" s="86"/>
    </row>
    <row r="104" ht="18.6" customHeight="1" spans="1:23" x14ac:dyDescent="0.25">
      <c r="A104" s="81"/>
      <c r="B104" s="82"/>
      <c r="C104" s="81"/>
      <c r="D104" s="82"/>
      <c r="E104" s="97"/>
      <c r="F104" s="83"/>
      <c r="G104" s="83"/>
      <c r="H104" s="84"/>
      <c r="I104" s="84"/>
      <c r="J104" s="84"/>
      <c r="K104" s="83"/>
      <c r="L104" s="83"/>
      <c r="M104" s="85"/>
      <c r="N104" s="83"/>
      <c r="O104" s="83"/>
      <c r="P104" s="83"/>
      <c r="Q104" s="83"/>
      <c r="R104" s="83"/>
      <c r="S104" s="83"/>
      <c r="T104" s="81"/>
      <c r="U104" s="86"/>
      <c r="V104" s="86"/>
      <c r="W104" s="86"/>
    </row>
    <row r="105" ht="18.6" customHeight="1" spans="1:24" s="86" customFormat="1" x14ac:dyDescent="0.25">
      <c r="A105" s="81"/>
      <c r="B105" s="82"/>
      <c r="C105" s="81"/>
      <c r="D105" s="82"/>
      <c r="E105" s="97"/>
      <c r="F105" s="83"/>
      <c r="G105" s="83"/>
      <c r="H105" s="84"/>
      <c r="I105" s="84"/>
      <c r="J105" s="84"/>
      <c r="K105" s="83"/>
      <c r="L105" s="83"/>
      <c r="M105" s="85"/>
      <c r="N105" s="83"/>
      <c r="O105" s="83"/>
      <c r="P105" s="83"/>
      <c r="Q105" s="83"/>
      <c r="R105" s="83"/>
      <c r="S105" s="83"/>
      <c r="T105" s="81"/>
      <c r="X105" s="1"/>
    </row>
    <row r="106" ht="18.6" customHeight="1" spans="1:24" s="86" customFormat="1" x14ac:dyDescent="0.25">
      <c r="A106" s="81"/>
      <c r="B106" s="82"/>
      <c r="C106" s="81"/>
      <c r="D106" s="82"/>
      <c r="E106" s="97"/>
      <c r="F106" s="83"/>
      <c r="G106" s="83"/>
      <c r="H106" s="84"/>
      <c r="I106" s="84"/>
      <c r="J106" s="84"/>
      <c r="K106" s="83"/>
      <c r="L106" s="83"/>
      <c r="M106" s="85"/>
      <c r="N106" s="83"/>
      <c r="O106" s="83"/>
      <c r="P106" s="83"/>
      <c r="Q106" s="83"/>
      <c r="R106" s="83"/>
      <c r="S106" s="83"/>
      <c r="T106" s="81"/>
      <c r="X106" s="1"/>
    </row>
    <row r="107" ht="18.6" customHeight="1" spans="1:22" s="87" customFormat="1" x14ac:dyDescent="0.25">
      <c r="A107" s="81"/>
      <c r="B107" s="82"/>
      <c r="C107" s="81"/>
      <c r="D107" s="82"/>
      <c r="E107" s="97"/>
      <c r="F107" s="83"/>
      <c r="G107" s="83"/>
      <c r="H107" s="84"/>
      <c r="I107" s="84"/>
      <c r="J107" s="84"/>
      <c r="K107" s="83"/>
      <c r="L107" s="83"/>
      <c r="M107" s="95"/>
      <c r="N107" s="95"/>
      <c r="O107" s="83"/>
      <c r="P107" s="95"/>
      <c r="Q107" s="95"/>
      <c r="R107" s="83"/>
      <c r="S107" s="95"/>
      <c r="T107" s="96"/>
      <c r="U107" s="86"/>
      <c r="V107" s="86"/>
    </row>
    <row r="108" ht="18.6" customHeight="1" spans="1:24" s="86" customFormat="1" x14ac:dyDescent="0.25">
      <c r="A108" s="81"/>
      <c r="B108" s="82"/>
      <c r="C108" s="81"/>
      <c r="D108" s="82"/>
      <c r="E108" s="97"/>
      <c r="F108" s="83"/>
      <c r="G108" s="83"/>
      <c r="H108" s="84"/>
      <c r="I108" s="84"/>
      <c r="J108" s="84"/>
      <c r="K108" s="83"/>
      <c r="L108" s="83"/>
      <c r="M108" s="85"/>
      <c r="N108" s="83"/>
      <c r="O108" s="83"/>
      <c r="P108" s="83"/>
      <c r="Q108" s="83"/>
      <c r="R108" s="83"/>
      <c r="S108" s="83"/>
      <c r="T108" s="81"/>
      <c r="X108" s="1"/>
    </row>
    <row r="109" ht="18.6" customHeight="1" spans="1:24" s="86" customFormat="1" x14ac:dyDescent="0.25">
      <c r="A109" s="81"/>
      <c r="B109" s="82"/>
      <c r="C109" s="81"/>
      <c r="D109" s="82"/>
      <c r="E109" s="97"/>
      <c r="F109" s="83"/>
      <c r="G109" s="83"/>
      <c r="H109" s="84"/>
      <c r="I109" s="84"/>
      <c r="J109" s="84"/>
      <c r="K109" s="83"/>
      <c r="L109" s="83"/>
      <c r="M109" s="85"/>
      <c r="N109" s="83"/>
      <c r="O109" s="83"/>
      <c r="P109" s="83"/>
      <c r="Q109" s="83"/>
      <c r="R109" s="83"/>
      <c r="S109" s="83"/>
      <c r="T109" s="81"/>
      <c r="X109" s="1"/>
    </row>
    <row r="110" spans="1:23" x14ac:dyDescent="0.25">
      <c r="A110" s="81"/>
      <c r="B110" s="82"/>
      <c r="C110" s="81"/>
      <c r="D110" s="82"/>
      <c r="E110" s="97"/>
      <c r="F110" s="83"/>
      <c r="G110" s="83"/>
      <c r="H110" s="84"/>
      <c r="I110" s="84"/>
      <c r="J110" s="84"/>
      <c r="K110" s="83"/>
      <c r="L110" s="83"/>
      <c r="M110" s="85"/>
      <c r="N110" s="83"/>
      <c r="O110" s="83"/>
      <c r="P110" s="83"/>
      <c r="Q110" s="83"/>
      <c r="R110" s="83"/>
      <c r="S110" s="83"/>
      <c r="T110" s="81"/>
      <c r="U110" s="86"/>
      <c r="V110" s="86"/>
      <c r="W110" s="86"/>
    </row>
    <row r="111" ht="18.6" customHeight="1" spans="1:23" x14ac:dyDescent="0.25">
      <c r="A111" s="81"/>
      <c r="B111" s="82"/>
      <c r="C111" s="81"/>
      <c r="D111" s="82"/>
      <c r="E111" s="97"/>
      <c r="F111" s="83"/>
      <c r="G111" s="83"/>
      <c r="H111" s="84"/>
      <c r="I111" s="84"/>
      <c r="J111" s="84"/>
      <c r="K111" s="83"/>
      <c r="L111" s="83"/>
      <c r="M111" s="85"/>
      <c r="N111" s="83"/>
      <c r="O111" s="83"/>
      <c r="P111" s="83"/>
      <c r="Q111" s="83"/>
      <c r="R111" s="83"/>
      <c r="S111" s="83"/>
      <c r="T111" s="81"/>
      <c r="U111" s="86"/>
      <c r="V111" s="86"/>
      <c r="W111" s="86"/>
    </row>
    <row r="112" ht="18.6" customHeight="1" spans="1:23" x14ac:dyDescent="0.25">
      <c r="A112" s="81"/>
      <c r="B112" s="82"/>
      <c r="C112" s="101"/>
      <c r="D112" s="102"/>
      <c r="E112" s="97"/>
      <c r="F112" s="83"/>
      <c r="G112" s="83"/>
      <c r="H112" s="84"/>
      <c r="I112" s="84"/>
      <c r="J112" s="84"/>
      <c r="K112" s="83"/>
      <c r="L112" s="83"/>
      <c r="M112" s="85"/>
      <c r="N112" s="83"/>
      <c r="O112" s="83"/>
      <c r="P112" s="83"/>
      <c r="Q112" s="83"/>
      <c r="R112" s="83"/>
      <c r="S112" s="83"/>
      <c r="T112" s="81"/>
      <c r="U112" s="86"/>
      <c r="V112" s="86"/>
      <c r="W112" s="86"/>
    </row>
    <row r="113" ht="18.6" customHeight="1" spans="1:23" x14ac:dyDescent="0.25">
      <c r="A113" s="81"/>
      <c r="B113" s="82"/>
      <c r="C113" s="101"/>
      <c r="D113" s="102"/>
      <c r="E113" s="97"/>
      <c r="F113" s="83"/>
      <c r="G113" s="83"/>
      <c r="H113" s="84"/>
      <c r="I113" s="84"/>
      <c r="J113" s="84"/>
      <c r="K113" s="83"/>
      <c r="L113" s="83"/>
      <c r="M113" s="85"/>
      <c r="N113" s="83"/>
      <c r="O113" s="83"/>
      <c r="P113" s="83"/>
      <c r="Q113" s="83"/>
      <c r="R113" s="83"/>
      <c r="S113" s="83"/>
      <c r="T113" s="81"/>
      <c r="U113" s="86"/>
      <c r="V113" s="86"/>
      <c r="W113" s="86"/>
    </row>
    <row r="114" ht="18.6" customHeight="1" spans="1:24" s="87" customFormat="1" x14ac:dyDescent="0.25">
      <c r="A114" s="81"/>
      <c r="B114" s="82"/>
      <c r="C114" s="101"/>
      <c r="D114" s="102"/>
      <c r="E114" s="97"/>
      <c r="F114" s="83"/>
      <c r="G114" s="83"/>
      <c r="H114" s="84"/>
      <c r="I114" s="84"/>
      <c r="J114" s="84"/>
      <c r="K114" s="83"/>
      <c r="L114" s="83"/>
      <c r="M114" s="85"/>
      <c r="N114" s="83"/>
      <c r="O114" s="83"/>
      <c r="P114" s="83"/>
      <c r="Q114" s="83"/>
      <c r="R114" s="83"/>
      <c r="S114" s="83"/>
      <c r="T114" s="81"/>
      <c r="U114" s="86"/>
      <c r="V114" s="86"/>
      <c r="W114" s="86"/>
      <c r="X114" s="1"/>
    </row>
    <row r="115" ht="18.6" customHeight="1" spans="1:24" s="87" customFormat="1" x14ac:dyDescent="0.25">
      <c r="A115" s="81"/>
      <c r="B115" s="82"/>
      <c r="C115" s="103"/>
      <c r="D115" s="102"/>
      <c r="E115" s="97"/>
      <c r="F115" s="83"/>
      <c r="G115" s="83"/>
      <c r="H115" s="84"/>
      <c r="I115" s="84"/>
      <c r="J115" s="84"/>
      <c r="K115" s="83"/>
      <c r="L115" s="83"/>
      <c r="M115" s="85"/>
      <c r="N115" s="83"/>
      <c r="O115" s="83"/>
      <c r="P115" s="83"/>
      <c r="Q115" s="83"/>
      <c r="R115" s="83"/>
      <c r="S115" s="83"/>
      <c r="T115" s="81"/>
      <c r="U115" s="86"/>
      <c r="V115" s="86"/>
      <c r="W115" s="86"/>
      <c r="X115" s="1"/>
    </row>
    <row r="116" ht="18.6" customHeight="1" spans="1:24" s="87" customFormat="1" x14ac:dyDescent="0.25">
      <c r="A116" s="81"/>
      <c r="B116" s="82"/>
      <c r="C116" s="103"/>
      <c r="D116" s="102"/>
      <c r="E116" s="97"/>
      <c r="F116" s="83"/>
      <c r="G116" s="83"/>
      <c r="H116" s="84"/>
      <c r="I116" s="84"/>
      <c r="J116" s="84"/>
      <c r="K116" s="83"/>
      <c r="L116" s="83"/>
      <c r="M116" s="85"/>
      <c r="N116" s="83"/>
      <c r="O116" s="83"/>
      <c r="P116" s="83"/>
      <c r="Q116" s="83"/>
      <c r="R116" s="83"/>
      <c r="S116" s="83"/>
      <c r="T116" s="81"/>
      <c r="U116" s="86"/>
      <c r="V116" s="86"/>
      <c r="W116" s="86"/>
      <c r="X116" s="1"/>
    </row>
    <row r="117" ht="18.6" customHeight="1" spans="1:24" s="87" customFormat="1" x14ac:dyDescent="0.25">
      <c r="A117" s="81"/>
      <c r="B117" s="82"/>
      <c r="C117" s="101"/>
      <c r="D117" s="102"/>
      <c r="E117" s="97"/>
      <c r="F117" s="83"/>
      <c r="G117" s="83"/>
      <c r="H117" s="84"/>
      <c r="I117" s="84"/>
      <c r="J117" s="84"/>
      <c r="K117" s="83"/>
      <c r="L117" s="83"/>
      <c r="M117" s="85"/>
      <c r="N117" s="83"/>
      <c r="O117" s="83"/>
      <c r="P117" s="83"/>
      <c r="Q117" s="83"/>
      <c r="R117" s="83"/>
      <c r="S117" s="83"/>
      <c r="T117" s="81"/>
      <c r="U117" s="86"/>
      <c r="V117" s="86"/>
      <c r="W117" s="86"/>
      <c r="X117" s="1"/>
    </row>
    <row r="118" ht="18.6" customHeight="1" spans="1:23" x14ac:dyDescent="0.25">
      <c r="A118" s="81"/>
      <c r="B118" s="82"/>
      <c r="C118" s="103"/>
      <c r="D118" s="102"/>
      <c r="E118" s="97"/>
      <c r="F118" s="83"/>
      <c r="G118" s="83"/>
      <c r="H118" s="84"/>
      <c r="I118" s="84"/>
      <c r="J118" s="84"/>
      <c r="K118" s="83"/>
      <c r="L118" s="83"/>
      <c r="M118" s="85"/>
      <c r="N118" s="83"/>
      <c r="O118" s="83"/>
      <c r="P118" s="83"/>
      <c r="Q118" s="83"/>
      <c r="R118" s="83"/>
      <c r="S118" s="83"/>
      <c r="T118" s="81"/>
      <c r="U118" s="86"/>
      <c r="V118" s="86"/>
      <c r="W118" s="86"/>
    </row>
    <row r="119" ht="18.6" customHeight="1" spans="1:23" x14ac:dyDescent="0.25">
      <c r="A119" s="81"/>
      <c r="B119" s="82"/>
      <c r="C119" s="103"/>
      <c r="D119" s="102"/>
      <c r="E119" s="97"/>
      <c r="F119" s="83"/>
      <c r="G119" s="83"/>
      <c r="H119" s="84"/>
      <c r="I119" s="84"/>
      <c r="J119" s="84"/>
      <c r="K119" s="83"/>
      <c r="L119" s="83"/>
      <c r="M119" s="85"/>
      <c r="N119" s="83"/>
      <c r="O119" s="83"/>
      <c r="P119" s="83"/>
      <c r="Q119" s="83"/>
      <c r="R119" s="83"/>
      <c r="S119" s="83"/>
      <c r="T119" s="81"/>
      <c r="U119" s="86"/>
      <c r="V119" s="86"/>
      <c r="W119" s="86"/>
    </row>
    <row r="120" ht="18.6" customHeight="1" spans="1:23" x14ac:dyDescent="0.25">
      <c r="A120" s="81"/>
      <c r="B120" s="82"/>
      <c r="C120" s="103"/>
      <c r="D120" s="102"/>
      <c r="E120" s="81"/>
      <c r="F120" s="83"/>
      <c r="G120" s="83"/>
      <c r="H120" s="84"/>
      <c r="I120" s="84"/>
      <c r="J120" s="84"/>
      <c r="K120" s="83"/>
      <c r="L120" s="83"/>
      <c r="M120" s="85"/>
      <c r="N120" s="83"/>
      <c r="O120" s="83"/>
      <c r="P120" s="83"/>
      <c r="Q120" s="83"/>
      <c r="R120" s="83"/>
      <c r="S120" s="83"/>
      <c r="T120" s="81"/>
      <c r="U120" s="86"/>
      <c r="V120" s="86"/>
      <c r="W120" s="86"/>
    </row>
    <row r="121" ht="18.6" customHeight="1" spans="1:24" s="86" customFormat="1" x14ac:dyDescent="0.25">
      <c r="A121" s="81"/>
      <c r="B121" s="82"/>
      <c r="C121" s="103"/>
      <c r="D121" s="102"/>
      <c r="E121" s="81"/>
      <c r="F121" s="83"/>
      <c r="G121" s="83"/>
      <c r="H121" s="84"/>
      <c r="I121" s="84"/>
      <c r="J121" s="84"/>
      <c r="K121" s="83"/>
      <c r="L121" s="83"/>
      <c r="M121" s="85"/>
      <c r="N121" s="83"/>
      <c r="O121" s="83"/>
      <c r="P121" s="83"/>
      <c r="Q121" s="83"/>
      <c r="R121" s="83"/>
      <c r="S121" s="83"/>
      <c r="T121" s="81"/>
      <c r="X121" s="1"/>
    </row>
    <row r="122" ht="18.6" customHeight="1" spans="1:24" s="86" customFormat="1" x14ac:dyDescent="0.25">
      <c r="A122" s="81"/>
      <c r="B122" s="82"/>
      <c r="C122" s="103"/>
      <c r="D122" s="102"/>
      <c r="E122" s="81"/>
      <c r="F122" s="83"/>
      <c r="G122" s="83"/>
      <c r="H122" s="84"/>
      <c r="I122" s="84"/>
      <c r="J122" s="84"/>
      <c r="K122" s="83"/>
      <c r="L122" s="83"/>
      <c r="M122" s="85"/>
      <c r="N122" s="83"/>
      <c r="O122" s="83"/>
      <c r="P122" s="83"/>
      <c r="Q122" s="83"/>
      <c r="R122" s="83"/>
      <c r="S122" s="83"/>
      <c r="T122" s="81"/>
      <c r="X122" s="1"/>
    </row>
    <row r="123" ht="18.6" customHeight="1" spans="1:23" x14ac:dyDescent="0.25">
      <c r="A123" s="81"/>
      <c r="B123" s="82"/>
      <c r="C123" s="103"/>
      <c r="D123" s="102"/>
      <c r="E123" s="81"/>
      <c r="F123" s="83"/>
      <c r="G123" s="83"/>
      <c r="H123" s="84"/>
      <c r="I123" s="84"/>
      <c r="J123" s="84"/>
      <c r="K123" s="83"/>
      <c r="L123" s="83"/>
      <c r="M123" s="85"/>
      <c r="N123" s="83"/>
      <c r="O123" s="83"/>
      <c r="P123" s="83"/>
      <c r="Q123" s="83"/>
      <c r="R123" s="83"/>
      <c r="S123" s="83"/>
      <c r="T123" s="81"/>
      <c r="U123" s="86"/>
      <c r="V123" s="86"/>
      <c r="W123" s="86"/>
    </row>
    <row r="124" ht="18.6" customHeight="1" spans="1:23" x14ac:dyDescent="0.25">
      <c r="A124" s="81"/>
      <c r="B124" s="82"/>
      <c r="C124" s="103"/>
      <c r="D124" s="102"/>
      <c r="E124" s="81"/>
      <c r="F124" s="83"/>
      <c r="G124" s="83"/>
      <c r="H124" s="84"/>
      <c r="I124" s="84"/>
      <c r="J124" s="84"/>
      <c r="K124" s="83"/>
      <c r="L124" s="83"/>
      <c r="M124" s="85"/>
      <c r="N124" s="83"/>
      <c r="O124" s="83"/>
      <c r="P124" s="83"/>
      <c r="Q124" s="83"/>
      <c r="R124" s="83"/>
      <c r="S124" s="83"/>
      <c r="T124" s="81"/>
      <c r="U124" s="86"/>
      <c r="V124" s="86"/>
      <c r="W124" s="86"/>
    </row>
    <row r="125" ht="18.6" customHeight="1" spans="1:23" x14ac:dyDescent="0.25">
      <c r="A125" s="81"/>
      <c r="B125" s="82"/>
      <c r="C125" s="103"/>
      <c r="D125" s="102"/>
      <c r="E125" s="81"/>
      <c r="F125" s="83"/>
      <c r="G125" s="83"/>
      <c r="H125" s="84"/>
      <c r="I125" s="84"/>
      <c r="J125" s="84"/>
      <c r="K125" s="83"/>
      <c r="L125" s="83"/>
      <c r="M125" s="85"/>
      <c r="N125" s="83"/>
      <c r="O125" s="83"/>
      <c r="P125" s="83"/>
      <c r="Q125" s="83"/>
      <c r="R125" s="83"/>
      <c r="S125" s="83"/>
      <c r="T125" s="81"/>
      <c r="U125" s="86"/>
      <c r="V125" s="86"/>
      <c r="W125" s="86"/>
    </row>
    <row r="126" ht="18" customHeight="1" spans="1:23" x14ac:dyDescent="0.25">
      <c r="A126" s="81"/>
      <c r="B126" s="82"/>
      <c r="C126" s="103"/>
      <c r="D126" s="102"/>
      <c r="E126" s="81"/>
      <c r="F126" s="83"/>
      <c r="G126" s="83"/>
      <c r="H126" s="84"/>
      <c r="I126" s="84"/>
      <c r="J126" s="84"/>
      <c r="K126" s="83"/>
      <c r="L126" s="83"/>
      <c r="M126" s="85"/>
      <c r="N126" s="83"/>
      <c r="O126" s="83"/>
      <c r="P126" s="83"/>
      <c r="Q126" s="83"/>
      <c r="R126" s="83"/>
      <c r="S126" s="83"/>
      <c r="T126" s="81"/>
      <c r="U126" s="86"/>
      <c r="V126" s="86"/>
      <c r="W126" s="86"/>
    </row>
    <row r="127" ht="18" customHeight="1" spans="1:24" s="86" customFormat="1" x14ac:dyDescent="0.25">
      <c r="A127" s="81"/>
      <c r="B127" s="82"/>
      <c r="C127" s="81"/>
      <c r="D127" s="82"/>
      <c r="E127" s="81"/>
      <c r="F127" s="83"/>
      <c r="G127" s="83"/>
      <c r="H127" s="84"/>
      <c r="I127" s="84"/>
      <c r="J127" s="84"/>
      <c r="K127" s="83"/>
      <c r="L127" s="83"/>
      <c r="M127" s="85"/>
      <c r="N127" s="83"/>
      <c r="O127" s="83"/>
      <c r="P127" s="83"/>
      <c r="Q127" s="83"/>
      <c r="R127" s="83"/>
      <c r="S127" s="83"/>
      <c r="T127" s="81"/>
      <c r="X127" s="1"/>
    </row>
    <row r="128" ht="18.75" customHeight="1" spans="1:23" x14ac:dyDescent="0.25">
      <c r="A128" s="81"/>
      <c r="B128" s="82"/>
      <c r="C128" s="81"/>
      <c r="D128" s="82"/>
      <c r="E128" s="81"/>
      <c r="F128" s="83"/>
      <c r="G128" s="83"/>
      <c r="H128" s="84"/>
      <c r="I128" s="84"/>
      <c r="J128" s="84"/>
      <c r="K128" s="83"/>
      <c r="L128" s="83"/>
      <c r="M128" s="85"/>
      <c r="N128" s="83"/>
      <c r="O128" s="83"/>
      <c r="P128" s="83"/>
      <c r="Q128" s="83"/>
      <c r="R128" s="83"/>
      <c r="S128" s="83"/>
      <c r="T128" s="81"/>
      <c r="U128" s="86"/>
      <c r="V128" s="86"/>
      <c r="W128" s="86"/>
    </row>
    <row r="129" ht="18.75" customHeight="1" spans="1:23" x14ac:dyDescent="0.25">
      <c r="A129" s="81"/>
      <c r="B129" s="82"/>
      <c r="C129" s="81"/>
      <c r="D129" s="82"/>
      <c r="E129" s="81"/>
      <c r="F129" s="83"/>
      <c r="G129" s="83"/>
      <c r="H129" s="84"/>
      <c r="I129" s="84"/>
      <c r="J129" s="84"/>
      <c r="K129" s="83"/>
      <c r="L129" s="83"/>
      <c r="M129" s="85"/>
      <c r="N129" s="83"/>
      <c r="O129" s="83"/>
      <c r="P129" s="83"/>
      <c r="Q129" s="83"/>
      <c r="R129" s="83"/>
      <c r="S129" s="83"/>
      <c r="T129" s="81"/>
      <c r="U129" s="86"/>
      <c r="V129" s="86"/>
      <c r="W129" s="86"/>
    </row>
    <row r="130" ht="18.6" customHeight="1" spans="1:20" x14ac:dyDescent="0.25">
      <c r="A130" s="81"/>
      <c r="B130" s="82"/>
      <c r="C130" s="103"/>
      <c r="D130" s="102"/>
      <c r="E130" s="81"/>
      <c r="F130" s="94"/>
      <c r="G130" s="94"/>
      <c r="H130" s="84"/>
      <c r="I130" s="84"/>
      <c r="J130" s="84"/>
      <c r="K130" s="83"/>
      <c r="L130" s="83"/>
      <c r="M130" s="85"/>
      <c r="N130" s="94"/>
      <c r="O130" s="94"/>
      <c r="P130" s="94"/>
      <c r="Q130" s="94"/>
      <c r="R130" s="94"/>
      <c r="S130" s="94"/>
      <c r="T130" s="104"/>
    </row>
    <row r="131" ht="18.6" customHeight="1" spans="1:24" s="86" customFormat="1" x14ac:dyDescent="0.25">
      <c r="A131" s="81"/>
      <c r="B131" s="82"/>
      <c r="C131" s="101"/>
      <c r="D131" s="102"/>
      <c r="E131" s="81"/>
      <c r="F131" s="94"/>
      <c r="G131" s="94"/>
      <c r="H131" s="84"/>
      <c r="I131" s="84"/>
      <c r="J131" s="84"/>
      <c r="K131" s="83"/>
      <c r="L131" s="83"/>
      <c r="M131" s="85"/>
      <c r="N131" s="94"/>
      <c r="O131" s="94"/>
      <c r="P131" s="94"/>
      <c r="Q131" s="94"/>
      <c r="R131" s="94"/>
      <c r="S131" s="94"/>
      <c r="T131" s="104"/>
      <c r="U131" s="1"/>
      <c r="V131" s="1"/>
      <c r="W131" s="1"/>
      <c r="X131" s="1"/>
    </row>
    <row r="132" ht="18.6" customHeight="1" spans="1:21" x14ac:dyDescent="0.25">
      <c r="A132" s="81"/>
      <c r="B132" s="82"/>
      <c r="C132" s="103"/>
      <c r="D132" s="102"/>
      <c r="E132" s="81"/>
      <c r="F132" s="94"/>
      <c r="G132" s="94"/>
      <c r="H132" s="84"/>
      <c r="I132" s="84"/>
      <c r="J132" s="84"/>
      <c r="K132" s="83"/>
      <c r="L132" s="83"/>
      <c r="M132" s="85"/>
      <c r="N132" s="94"/>
      <c r="O132" s="94"/>
      <c r="P132" s="94"/>
      <c r="Q132" s="94"/>
      <c r="R132" s="94"/>
      <c r="S132" s="94"/>
      <c r="T132" s="104"/>
      <c r="U132" s="105"/>
    </row>
    <row r="133" ht="18.6" customHeight="1" spans="1:20" x14ac:dyDescent="0.25">
      <c r="A133" s="81"/>
      <c r="B133" s="82"/>
      <c r="C133" s="101"/>
      <c r="D133" s="102"/>
      <c r="E133" s="81"/>
      <c r="F133" s="94"/>
      <c r="G133" s="94"/>
      <c r="H133" s="84"/>
      <c r="I133" s="84"/>
      <c r="J133" s="84"/>
      <c r="K133" s="83"/>
      <c r="L133" s="83"/>
      <c r="M133" s="85"/>
      <c r="N133" s="94"/>
      <c r="O133" s="94"/>
      <c r="P133" s="94"/>
      <c r="Q133" s="94"/>
      <c r="R133" s="94"/>
      <c r="S133" s="94"/>
      <c r="T133" s="104"/>
    </row>
    <row r="134" ht="18.6" customHeight="1" spans="1:20" x14ac:dyDescent="0.25">
      <c r="A134" s="81"/>
      <c r="B134" s="82"/>
      <c r="C134" s="101"/>
      <c r="D134" s="102"/>
      <c r="E134" s="81"/>
      <c r="F134" s="94"/>
      <c r="G134" s="94"/>
      <c r="H134" s="84"/>
      <c r="I134" s="84"/>
      <c r="J134" s="84"/>
      <c r="K134" s="83"/>
      <c r="L134" s="83"/>
      <c r="M134" s="85"/>
      <c r="N134" s="94"/>
      <c r="O134" s="94"/>
      <c r="P134" s="94"/>
      <c r="Q134" s="94"/>
      <c r="R134" s="94"/>
      <c r="S134" s="94"/>
      <c r="T134" s="104"/>
    </row>
    <row r="135" ht="18.6" customHeight="1" spans="1:20" x14ac:dyDescent="0.25">
      <c r="A135" s="81"/>
      <c r="B135" s="82"/>
      <c r="C135" s="101"/>
      <c r="D135" s="102"/>
      <c r="E135" s="81"/>
      <c r="F135" s="94"/>
      <c r="G135" s="94"/>
      <c r="H135" s="84"/>
      <c r="I135" s="84"/>
      <c r="J135" s="84"/>
      <c r="K135" s="83"/>
      <c r="L135" s="83"/>
      <c r="M135" s="85"/>
      <c r="N135" s="94"/>
      <c r="O135" s="94"/>
      <c r="P135" s="94"/>
      <c r="Q135" s="94"/>
      <c r="R135" s="94"/>
      <c r="S135" s="94"/>
      <c r="T135" s="104"/>
    </row>
    <row r="136" ht="18.6" customHeight="1" spans="1:20" x14ac:dyDescent="0.25">
      <c r="A136" s="81"/>
      <c r="B136" s="82"/>
      <c r="C136" s="101"/>
      <c r="D136" s="102"/>
      <c r="E136" s="81"/>
      <c r="F136" s="94"/>
      <c r="G136" s="94"/>
      <c r="H136" s="84"/>
      <c r="I136" s="84"/>
      <c r="J136" s="84"/>
      <c r="K136" s="83"/>
      <c r="L136" s="83"/>
      <c r="M136" s="85"/>
      <c r="N136" s="94"/>
      <c r="O136" s="94"/>
      <c r="P136" s="94"/>
      <c r="Q136" s="94"/>
      <c r="R136" s="94"/>
      <c r="S136" s="94"/>
      <c r="T136" s="104"/>
    </row>
    <row r="137" ht="18" customHeight="1" spans="1:24" s="86" customFormat="1" x14ac:dyDescent="0.25">
      <c r="A137" s="81"/>
      <c r="B137" s="82"/>
      <c r="C137" s="103"/>
      <c r="D137" s="102"/>
      <c r="E137" s="81"/>
      <c r="F137" s="94"/>
      <c r="G137" s="94"/>
      <c r="H137" s="84"/>
      <c r="I137" s="84"/>
      <c r="J137" s="84"/>
      <c r="K137" s="83"/>
      <c r="L137" s="83"/>
      <c r="M137" s="85"/>
      <c r="N137" s="94"/>
      <c r="O137" s="94"/>
      <c r="P137" s="94"/>
      <c r="Q137" s="94"/>
      <c r="R137" s="94"/>
      <c r="S137" s="94"/>
      <c r="T137" s="104"/>
      <c r="U137" s="1"/>
      <c r="V137" s="1"/>
      <c r="W137" s="1"/>
      <c r="X137" s="1"/>
    </row>
    <row r="138" ht="18" customHeight="1" spans="1:20" x14ac:dyDescent="0.25">
      <c r="A138" s="81"/>
      <c r="B138" s="82"/>
      <c r="C138" s="103"/>
      <c r="D138" s="102"/>
      <c r="E138" s="81"/>
      <c r="F138" s="94"/>
      <c r="G138" s="94"/>
      <c r="H138" s="84"/>
      <c r="I138" s="84"/>
      <c r="J138" s="84"/>
      <c r="K138" s="83"/>
      <c r="L138" s="83"/>
      <c r="M138" s="85"/>
      <c r="N138" s="94"/>
      <c r="O138" s="94"/>
      <c r="P138" s="94"/>
      <c r="Q138" s="94"/>
      <c r="R138" s="94"/>
      <c r="S138" s="94"/>
      <c r="T138" s="104"/>
    </row>
    <row r="139" ht="18" customHeight="1" spans="1:20" x14ac:dyDescent="0.25">
      <c r="A139" s="81"/>
      <c r="B139" s="82"/>
      <c r="C139" s="103"/>
      <c r="D139" s="102"/>
      <c r="E139" s="81"/>
      <c r="F139" s="94"/>
      <c r="G139" s="94"/>
      <c r="H139" s="84"/>
      <c r="I139" s="84"/>
      <c r="J139" s="84"/>
      <c r="K139" s="83"/>
      <c r="L139" s="83"/>
      <c r="M139" s="85"/>
      <c r="N139" s="94"/>
      <c r="O139" s="94"/>
      <c r="P139" s="94"/>
      <c r="Q139" s="94"/>
      <c r="R139" s="94"/>
      <c r="S139" s="94"/>
      <c r="T139" s="104"/>
    </row>
    <row r="140" ht="18" customHeight="1" spans="1:20" x14ac:dyDescent="0.25">
      <c r="A140" s="81"/>
      <c r="B140" s="82"/>
      <c r="C140" s="103"/>
      <c r="D140" s="102"/>
      <c r="E140" s="81"/>
      <c r="F140" s="94"/>
      <c r="G140" s="83"/>
      <c r="H140" s="84"/>
      <c r="I140" s="84"/>
      <c r="J140" s="84"/>
      <c r="K140" s="83"/>
      <c r="L140" s="83"/>
      <c r="M140" s="85"/>
      <c r="N140" s="94"/>
      <c r="O140" s="94"/>
      <c r="P140" s="94"/>
      <c r="Q140" s="94"/>
      <c r="R140" s="94"/>
      <c r="S140" s="94"/>
      <c r="T140" s="104"/>
    </row>
    <row r="141" ht="18.6" customHeight="1" spans="1:24" s="86" customFormat="1" x14ac:dyDescent="0.25">
      <c r="A141" s="81"/>
      <c r="B141" s="82"/>
      <c r="C141" s="101"/>
      <c r="D141" s="102"/>
      <c r="E141" s="81"/>
      <c r="F141" s="94"/>
      <c r="G141" s="94"/>
      <c r="H141" s="84"/>
      <c r="I141" s="84"/>
      <c r="J141" s="84"/>
      <c r="K141" s="83"/>
      <c r="L141" s="83"/>
      <c r="M141" s="85"/>
      <c r="N141" s="94"/>
      <c r="O141" s="94"/>
      <c r="P141" s="94"/>
      <c r="Q141" s="94"/>
      <c r="R141" s="94"/>
      <c r="S141" s="94"/>
      <c r="T141" s="104"/>
      <c r="U141" s="1"/>
      <c r="V141" s="1"/>
      <c r="W141" s="1"/>
      <c r="X141" s="1"/>
    </row>
    <row r="142" ht="18.6" customHeight="1" spans="1:20" x14ac:dyDescent="0.25">
      <c r="A142" s="101"/>
      <c r="B142" s="102"/>
      <c r="C142" s="101"/>
      <c r="D142" s="102"/>
      <c r="E142" s="81"/>
      <c r="F142" s="94"/>
      <c r="G142" s="94"/>
      <c r="H142" s="84"/>
      <c r="I142" s="84"/>
      <c r="J142" s="84"/>
      <c r="K142" s="83"/>
      <c r="L142" s="83"/>
      <c r="M142" s="85"/>
      <c r="N142" s="94"/>
      <c r="O142" s="94"/>
      <c r="P142" s="94"/>
      <c r="Q142" s="94"/>
      <c r="R142" s="94"/>
      <c r="S142" s="94"/>
      <c r="T142" s="104"/>
    </row>
    <row r="143" ht="18.6" customHeight="1" spans="1:20" x14ac:dyDescent="0.25">
      <c r="A143" s="101"/>
      <c r="B143" s="102"/>
      <c r="C143" s="103"/>
      <c r="D143" s="102"/>
      <c r="E143" s="104"/>
      <c r="F143" s="94"/>
      <c r="G143" s="94"/>
      <c r="H143" s="84"/>
      <c r="I143" s="84"/>
      <c r="J143" s="84"/>
      <c r="K143" s="83"/>
      <c r="L143" s="83"/>
      <c r="M143" s="85"/>
      <c r="N143" s="94"/>
      <c r="O143" s="94"/>
      <c r="P143" s="94"/>
      <c r="Q143" s="94"/>
      <c r="R143" s="94"/>
      <c r="S143" s="94"/>
      <c r="T143" s="104"/>
    </row>
    <row r="144" spans="1:20" x14ac:dyDescent="0.25">
      <c r="A144" s="101"/>
      <c r="B144" s="102"/>
      <c r="C144" s="101"/>
      <c r="D144" s="102"/>
      <c r="E144" s="104"/>
      <c r="F144" s="94"/>
      <c r="G144" s="94"/>
      <c r="H144" s="84"/>
      <c r="I144" s="84"/>
      <c r="J144" s="84"/>
      <c r="K144" s="83"/>
      <c r="L144" s="83"/>
      <c r="M144" s="85"/>
      <c r="N144" s="94"/>
      <c r="O144" s="94"/>
      <c r="P144" s="94"/>
      <c r="Q144" s="94"/>
      <c r="R144" s="94"/>
      <c r="S144" s="94"/>
      <c r="T144" s="104"/>
    </row>
    <row r="145" spans="1:20" x14ac:dyDescent="0.25">
      <c r="A145" s="101"/>
      <c r="B145" s="102"/>
      <c r="C145" s="101"/>
      <c r="D145" s="102"/>
      <c r="E145" s="104"/>
      <c r="F145" s="94"/>
      <c r="G145" s="94"/>
      <c r="H145" s="84"/>
      <c r="I145" s="84"/>
      <c r="J145" s="84"/>
      <c r="K145" s="83"/>
      <c r="L145" s="83"/>
      <c r="M145" s="85"/>
      <c r="N145" s="94"/>
      <c r="O145" s="94"/>
      <c r="P145" s="94"/>
      <c r="Q145" s="94"/>
      <c r="R145" s="94"/>
      <c r="S145" s="94"/>
      <c r="T145" s="104"/>
    </row>
    <row r="146" spans="1:20" x14ac:dyDescent="0.25">
      <c r="A146" s="101"/>
      <c r="B146" s="102"/>
      <c r="C146" s="101"/>
      <c r="D146" s="102"/>
      <c r="E146" s="104"/>
      <c r="F146" s="94"/>
      <c r="G146" s="94"/>
      <c r="H146" s="84"/>
      <c r="I146" s="84"/>
      <c r="J146" s="84"/>
      <c r="K146" s="83"/>
      <c r="L146" s="83"/>
      <c r="M146" s="85"/>
      <c r="N146" s="94"/>
      <c r="O146" s="94"/>
      <c r="P146" s="94"/>
      <c r="Q146" s="94"/>
      <c r="R146" s="94"/>
      <c r="S146" s="94"/>
      <c r="T146" s="104"/>
    </row>
    <row r="147" ht="18.6" customHeight="1" spans="1:20" x14ac:dyDescent="0.25">
      <c r="A147" s="101"/>
      <c r="B147" s="102"/>
      <c r="C147" s="101"/>
      <c r="D147" s="102"/>
      <c r="E147" s="104"/>
      <c r="F147" s="94"/>
      <c r="G147" s="94"/>
      <c r="H147" s="84"/>
      <c r="I147" s="84"/>
      <c r="J147" s="84"/>
      <c r="K147" s="83"/>
      <c r="L147" s="83"/>
      <c r="M147" s="85"/>
      <c r="N147" s="94"/>
      <c r="O147" s="94"/>
      <c r="P147" s="94"/>
      <c r="Q147" s="94"/>
      <c r="R147" s="94"/>
      <c r="S147" s="94"/>
      <c r="T147" s="104"/>
    </row>
    <row r="148" ht="18.6" customHeight="1" spans="1:20" x14ac:dyDescent="0.25">
      <c r="A148" s="101"/>
      <c r="B148" s="102"/>
      <c r="C148" s="103"/>
      <c r="D148" s="102"/>
      <c r="E148" s="104"/>
      <c r="F148" s="94"/>
      <c r="G148" s="94"/>
      <c r="H148" s="84"/>
      <c r="I148" s="84"/>
      <c r="J148" s="84"/>
      <c r="K148" s="83"/>
      <c r="L148" s="83"/>
      <c r="M148" s="85"/>
      <c r="N148" s="94"/>
      <c r="O148" s="94"/>
      <c r="P148" s="94"/>
      <c r="Q148" s="94"/>
      <c r="R148" s="94"/>
      <c r="S148" s="94"/>
      <c r="T148" s="104"/>
    </row>
    <row r="149" ht="18.6" customHeight="1" spans="1:20" x14ac:dyDescent="0.25">
      <c r="A149" s="101"/>
      <c r="B149" s="102"/>
      <c r="C149" s="103"/>
      <c r="D149" s="102"/>
      <c r="E149" s="104"/>
      <c r="F149" s="94"/>
      <c r="G149" s="94"/>
      <c r="H149" s="84"/>
      <c r="I149" s="84"/>
      <c r="J149" s="84"/>
      <c r="K149" s="83"/>
      <c r="L149" s="83"/>
      <c r="M149" s="85"/>
      <c r="N149" s="94"/>
      <c r="O149" s="94"/>
      <c r="P149" s="94"/>
      <c r="Q149" s="94"/>
      <c r="R149" s="94"/>
      <c r="S149" s="94"/>
      <c r="T149" s="104"/>
    </row>
    <row r="150" ht="18.6" customHeight="1" spans="1:20" x14ac:dyDescent="0.25">
      <c r="A150" s="101"/>
      <c r="B150" s="102"/>
      <c r="C150" s="103"/>
      <c r="D150" s="102"/>
      <c r="E150" s="104"/>
      <c r="F150" s="94"/>
      <c r="G150" s="94"/>
      <c r="H150" s="84"/>
      <c r="I150" s="84"/>
      <c r="J150" s="84"/>
      <c r="K150" s="83"/>
      <c r="L150" s="83"/>
      <c r="M150" s="85"/>
      <c r="N150" s="94"/>
      <c r="O150" s="94"/>
      <c r="P150" s="94"/>
      <c r="Q150" s="94"/>
      <c r="R150" s="94"/>
      <c r="S150" s="94"/>
      <c r="T150" s="104"/>
    </row>
    <row r="151" ht="18.6" customHeight="1" spans="1:24" s="87" customFormat="1" x14ac:dyDescent="0.25">
      <c r="A151" s="101"/>
      <c r="B151" s="102"/>
      <c r="C151" s="103"/>
      <c r="D151" s="102"/>
      <c r="E151" s="104"/>
      <c r="F151" s="104"/>
      <c r="G151" s="94"/>
      <c r="H151" s="84"/>
      <c r="I151" s="84"/>
      <c r="J151" s="84"/>
      <c r="K151" s="83"/>
      <c r="L151" s="83"/>
      <c r="M151" s="85"/>
      <c r="N151" s="94"/>
      <c r="O151" s="94"/>
      <c r="P151" s="94"/>
      <c r="Q151" s="94"/>
      <c r="R151" s="94"/>
      <c r="S151" s="94"/>
      <c r="T151" s="104"/>
      <c r="U151" s="1"/>
      <c r="V151" s="1"/>
      <c r="W151" s="1"/>
      <c r="X151" s="1"/>
    </row>
    <row r="152" ht="18.6" customHeight="1" spans="1:24" s="87" customFormat="1" x14ac:dyDescent="0.25">
      <c r="A152" s="101"/>
      <c r="B152" s="102"/>
      <c r="C152" s="103"/>
      <c r="D152" s="102"/>
      <c r="E152" s="104"/>
      <c r="F152" s="104"/>
      <c r="G152" s="94"/>
      <c r="H152" s="84"/>
      <c r="I152" s="84"/>
      <c r="J152" s="84"/>
      <c r="K152" s="83"/>
      <c r="L152" s="83"/>
      <c r="M152" s="85"/>
      <c r="N152" s="94"/>
      <c r="O152" s="94"/>
      <c r="P152" s="94"/>
      <c r="Q152" s="94"/>
      <c r="R152" s="94"/>
      <c r="S152" s="94"/>
      <c r="T152" s="104"/>
      <c r="U152" s="1"/>
      <c r="V152" s="1"/>
      <c r="W152" s="1"/>
      <c r="X152" s="1"/>
    </row>
    <row r="153" ht="18.6" customHeight="1" spans="1:24" s="87" customFormat="1" x14ac:dyDescent="0.25">
      <c r="A153" s="101"/>
      <c r="B153" s="102"/>
      <c r="C153" s="103"/>
      <c r="D153" s="102"/>
      <c r="E153" s="104"/>
      <c r="F153" s="104"/>
      <c r="G153" s="94"/>
      <c r="H153" s="84"/>
      <c r="I153" s="84"/>
      <c r="J153" s="84"/>
      <c r="K153" s="83"/>
      <c r="L153" s="83"/>
      <c r="M153" s="85"/>
      <c r="N153" s="94"/>
      <c r="O153" s="94"/>
      <c r="P153" s="94"/>
      <c r="Q153" s="94"/>
      <c r="R153" s="94"/>
      <c r="S153" s="94"/>
      <c r="T153" s="104"/>
      <c r="U153" s="1"/>
      <c r="V153" s="1"/>
      <c r="W153" s="1"/>
      <c r="X153" s="1"/>
    </row>
    <row r="154" ht="18.6" customHeight="1" spans="1:24" s="87" customFormat="1" x14ac:dyDescent="0.25">
      <c r="A154" s="101"/>
      <c r="B154" s="102"/>
      <c r="C154" s="103"/>
      <c r="D154" s="102"/>
      <c r="E154" s="104"/>
      <c r="F154" s="104"/>
      <c r="G154" s="94"/>
      <c r="H154" s="84"/>
      <c r="I154" s="84"/>
      <c r="J154" s="84"/>
      <c r="K154" s="83"/>
      <c r="L154" s="83"/>
      <c r="M154" s="85"/>
      <c r="N154" s="94"/>
      <c r="O154" s="94"/>
      <c r="P154" s="94"/>
      <c r="Q154" s="94"/>
      <c r="R154" s="94"/>
      <c r="S154" s="94"/>
      <c r="T154" s="104"/>
      <c r="U154" s="1"/>
      <c r="V154" s="1"/>
      <c r="W154" s="1"/>
      <c r="X154" s="1"/>
    </row>
    <row r="155" ht="18.6" customHeight="1" spans="1:24" s="87" customFormat="1" x14ac:dyDescent="0.25">
      <c r="A155" s="101"/>
      <c r="B155" s="102"/>
      <c r="C155" s="101"/>
      <c r="D155" s="102"/>
      <c r="E155" s="104"/>
      <c r="F155" s="104"/>
      <c r="G155" s="94"/>
      <c r="H155" s="84"/>
      <c r="I155" s="84"/>
      <c r="J155" s="84"/>
      <c r="K155" s="83"/>
      <c r="L155" s="83"/>
      <c r="M155" s="85"/>
      <c r="N155" s="94"/>
      <c r="O155" s="94"/>
      <c r="P155" s="94"/>
      <c r="Q155" s="94"/>
      <c r="R155" s="94"/>
      <c r="S155" s="94"/>
      <c r="T155" s="104"/>
      <c r="U155" s="1"/>
      <c r="V155" s="1"/>
      <c r="W155" s="1"/>
      <c r="X155" s="1"/>
    </row>
    <row r="156" ht="18.6" customHeight="1" spans="1:24" s="87" customFormat="1" x14ac:dyDescent="0.25">
      <c r="A156" s="101"/>
      <c r="B156" s="102"/>
      <c r="C156" s="103"/>
      <c r="D156" s="102"/>
      <c r="E156" s="104"/>
      <c r="F156" s="94"/>
      <c r="G156" s="94"/>
      <c r="H156" s="84"/>
      <c r="I156" s="84"/>
      <c r="J156" s="84"/>
      <c r="K156" s="83"/>
      <c r="L156" s="83"/>
      <c r="M156" s="85"/>
      <c r="N156" s="94"/>
      <c r="O156" s="94"/>
      <c r="P156" s="94"/>
      <c r="Q156" s="94"/>
      <c r="R156" s="94"/>
      <c r="S156" s="94"/>
      <c r="T156" s="104"/>
      <c r="U156" s="1"/>
      <c r="V156" s="1"/>
      <c r="W156" s="1"/>
      <c r="X156" s="1"/>
    </row>
    <row r="157" ht="18.6" customHeight="1" spans="1:20" x14ac:dyDescent="0.25">
      <c r="A157" s="101"/>
      <c r="B157" s="102"/>
      <c r="C157" s="103"/>
      <c r="D157" s="102"/>
      <c r="E157" s="104"/>
      <c r="F157" s="94"/>
      <c r="G157" s="94"/>
      <c r="H157" s="84"/>
      <c r="I157" s="84"/>
      <c r="J157" s="84"/>
      <c r="K157" s="83"/>
      <c r="L157" s="83"/>
      <c r="M157" s="85"/>
      <c r="N157" s="94"/>
      <c r="O157" s="94"/>
      <c r="P157" s="94"/>
      <c r="Q157" s="94"/>
      <c r="R157" s="94"/>
      <c r="S157" s="94"/>
      <c r="T157" s="104"/>
    </row>
    <row r="158" ht="18.6" customHeight="1" spans="1:20" x14ac:dyDescent="0.25">
      <c r="A158" s="106"/>
      <c r="B158" s="107"/>
      <c r="C158" s="103"/>
      <c r="D158" s="102"/>
      <c r="E158" s="104"/>
      <c r="F158" s="94"/>
      <c r="G158" s="94"/>
      <c r="H158" s="84"/>
      <c r="I158" s="84"/>
      <c r="J158" s="84"/>
      <c r="K158" s="83"/>
      <c r="L158" s="83"/>
      <c r="M158" s="85"/>
      <c r="N158" s="94"/>
      <c r="O158" s="94"/>
      <c r="P158" s="94"/>
      <c r="Q158" s="94"/>
      <c r="R158" s="94"/>
      <c r="S158" s="94"/>
      <c r="T158" s="104"/>
    </row>
    <row r="159" ht="18.6" customHeight="1" spans="1:20" x14ac:dyDescent="0.25">
      <c r="A159" s="106"/>
      <c r="B159" s="107"/>
      <c r="C159" s="103"/>
      <c r="D159" s="102"/>
      <c r="E159" s="104"/>
      <c r="F159" s="94"/>
      <c r="G159" s="94"/>
      <c r="H159" s="84"/>
      <c r="I159" s="84"/>
      <c r="J159" s="84"/>
      <c r="K159" s="83"/>
      <c r="L159" s="83"/>
      <c r="M159" s="85"/>
      <c r="N159" s="94"/>
      <c r="O159" s="94"/>
      <c r="P159" s="94"/>
      <c r="Q159" s="94"/>
      <c r="R159" s="94"/>
      <c r="S159" s="94"/>
      <c r="T159" s="104"/>
    </row>
    <row r="160" ht="18.6" customHeight="1" spans="1:20" x14ac:dyDescent="0.25">
      <c r="A160" s="106"/>
      <c r="B160" s="107"/>
      <c r="C160" s="103"/>
      <c r="D160" s="102"/>
      <c r="E160" s="104"/>
      <c r="F160" s="94"/>
      <c r="G160" s="94"/>
      <c r="H160" s="84"/>
      <c r="I160" s="84"/>
      <c r="J160" s="84"/>
      <c r="K160" s="83"/>
      <c r="L160" s="83"/>
      <c r="M160" s="85"/>
      <c r="N160" s="94"/>
      <c r="O160" s="94"/>
      <c r="P160" s="94"/>
      <c r="Q160" s="94"/>
      <c r="R160" s="94"/>
      <c r="S160" s="94"/>
      <c r="T160" s="104"/>
    </row>
    <row r="161" ht="18.6" customHeight="1" spans="1:20" x14ac:dyDescent="0.25">
      <c r="A161" s="106"/>
      <c r="B161" s="107"/>
      <c r="C161" s="103"/>
      <c r="D161" s="102"/>
      <c r="E161" s="104"/>
      <c r="F161" s="94"/>
      <c r="G161" s="94"/>
      <c r="H161" s="84"/>
      <c r="I161" s="84"/>
      <c r="J161" s="84"/>
      <c r="K161" s="83"/>
      <c r="L161" s="83"/>
      <c r="M161" s="85"/>
      <c r="N161" s="94"/>
      <c r="O161" s="94"/>
      <c r="P161" s="94"/>
      <c r="Q161" s="94"/>
      <c r="R161" s="94"/>
      <c r="S161" s="94"/>
      <c r="T161" s="104"/>
    </row>
    <row r="162" ht="18.6" customHeight="1" spans="1:20" x14ac:dyDescent="0.25">
      <c r="A162" s="106"/>
      <c r="B162" s="107"/>
      <c r="C162" s="103"/>
      <c r="D162" s="102"/>
      <c r="E162" s="104"/>
      <c r="F162" s="94"/>
      <c r="G162" s="94"/>
      <c r="H162" s="84"/>
      <c r="I162" s="84"/>
      <c r="J162" s="84"/>
      <c r="K162" s="83"/>
      <c r="L162" s="83"/>
      <c r="M162" s="85"/>
      <c r="N162" s="94"/>
      <c r="O162" s="94"/>
      <c r="P162" s="94"/>
      <c r="Q162" s="94"/>
      <c r="R162" s="94"/>
      <c r="S162" s="94"/>
      <c r="T162" s="104"/>
    </row>
    <row r="163" ht="18.75" customHeight="1" spans="1:24" s="87" customFormat="1" x14ac:dyDescent="0.25">
      <c r="A163" s="106"/>
      <c r="B163" s="107"/>
      <c r="C163" s="103"/>
      <c r="D163" s="102"/>
      <c r="E163" s="104"/>
      <c r="F163" s="94"/>
      <c r="G163" s="94"/>
      <c r="H163" s="84"/>
      <c r="I163" s="84"/>
      <c r="J163" s="84"/>
      <c r="K163" s="83"/>
      <c r="L163" s="83"/>
      <c r="M163" s="85"/>
      <c r="N163" s="94"/>
      <c r="O163" s="94"/>
      <c r="P163" s="94"/>
      <c r="Q163" s="94"/>
      <c r="R163" s="94"/>
      <c r="S163" s="94"/>
      <c r="T163" s="104"/>
      <c r="U163" s="1"/>
      <c r="V163" s="1"/>
      <c r="W163" s="1"/>
      <c r="X163" s="1"/>
    </row>
    <row r="164" ht="18.6" customHeight="1" spans="1:24" s="86" customFormat="1" x14ac:dyDescent="0.25">
      <c r="A164" s="106"/>
      <c r="B164" s="107"/>
      <c r="C164" s="103"/>
      <c r="D164" s="102"/>
      <c r="E164" s="104"/>
      <c r="F164" s="94"/>
      <c r="G164" s="94"/>
      <c r="H164" s="84"/>
      <c r="I164" s="84"/>
      <c r="J164" s="84"/>
      <c r="K164" s="83"/>
      <c r="L164" s="83"/>
      <c r="M164" s="85"/>
      <c r="N164" s="94"/>
      <c r="O164" s="94"/>
      <c r="P164" s="94"/>
      <c r="Q164" s="94"/>
      <c r="R164" s="94"/>
      <c r="S164" s="94"/>
      <c r="T164" s="104"/>
      <c r="U164" s="1"/>
      <c r="V164" s="1"/>
      <c r="W164" s="1"/>
      <c r="X164" s="1"/>
    </row>
    <row r="165" ht="18.6" customHeight="1" spans="1:24" s="86" customFormat="1" x14ac:dyDescent="0.25">
      <c r="A165" s="106"/>
      <c r="B165" s="107"/>
      <c r="C165" s="103"/>
      <c r="D165" s="102"/>
      <c r="E165" s="104"/>
      <c r="F165" s="94"/>
      <c r="G165" s="94"/>
      <c r="H165" s="84"/>
      <c r="I165" s="84"/>
      <c r="J165" s="84"/>
      <c r="K165" s="83"/>
      <c r="L165" s="83"/>
      <c r="M165" s="85"/>
      <c r="N165" s="94"/>
      <c r="O165" s="94"/>
      <c r="P165" s="94"/>
      <c r="Q165" s="94"/>
      <c r="R165" s="94"/>
      <c r="S165" s="94"/>
      <c r="T165" s="104"/>
      <c r="U165" s="1"/>
      <c r="V165" s="1"/>
      <c r="W165" s="1"/>
      <c r="X165" s="1"/>
    </row>
    <row r="166" ht="18.6" customHeight="1" spans="1:24" s="86" customFormat="1" x14ac:dyDescent="0.25">
      <c r="A166" s="106"/>
      <c r="B166" s="107"/>
      <c r="C166" s="103"/>
      <c r="D166" s="102"/>
      <c r="E166" s="104"/>
      <c r="F166" s="94"/>
      <c r="G166" s="94"/>
      <c r="H166" s="84"/>
      <c r="I166" s="84"/>
      <c r="J166" s="84"/>
      <c r="K166" s="83"/>
      <c r="L166" s="83"/>
      <c r="M166" s="85"/>
      <c r="N166" s="94"/>
      <c r="O166" s="94"/>
      <c r="P166" s="94"/>
      <c r="Q166" s="94"/>
      <c r="R166" s="94"/>
      <c r="S166" s="94"/>
      <c r="T166" s="104"/>
      <c r="U166" s="1"/>
      <c r="V166" s="1"/>
      <c r="W166" s="1"/>
      <c r="X166" s="1"/>
    </row>
    <row r="167" ht="18.6" customHeight="1" spans="1:20" x14ac:dyDescent="0.25">
      <c r="A167" s="106"/>
      <c r="B167" s="107"/>
      <c r="C167" s="101"/>
      <c r="D167" s="102"/>
      <c r="E167" s="104"/>
      <c r="F167" s="94"/>
      <c r="G167" s="94"/>
      <c r="H167" s="84"/>
      <c r="I167" s="84"/>
      <c r="J167" s="84"/>
      <c r="K167" s="83"/>
      <c r="L167" s="83"/>
      <c r="M167" s="85"/>
      <c r="N167" s="94"/>
      <c r="O167" s="94"/>
      <c r="P167" s="94"/>
      <c r="Q167" s="94"/>
      <c r="R167" s="94"/>
      <c r="S167" s="94"/>
      <c r="T167" s="104"/>
    </row>
    <row r="168" ht="18.6" customHeight="1" spans="1:20" x14ac:dyDescent="0.25">
      <c r="A168" s="106"/>
      <c r="B168" s="107"/>
      <c r="C168" s="101"/>
      <c r="D168" s="102"/>
      <c r="E168" s="104"/>
      <c r="F168" s="94"/>
      <c r="G168" s="94"/>
      <c r="H168" s="84"/>
      <c r="I168" s="84"/>
      <c r="J168" s="84"/>
      <c r="K168" s="83"/>
      <c r="L168" s="83"/>
      <c r="M168" s="85"/>
      <c r="N168" s="94"/>
      <c r="O168" s="94"/>
      <c r="P168" s="94"/>
      <c r="Q168" s="94"/>
      <c r="R168" s="94"/>
      <c r="S168" s="94"/>
      <c r="T168" s="104"/>
    </row>
    <row r="169" ht="18.6" customHeight="1" spans="1:20" x14ac:dyDescent="0.25">
      <c r="A169" s="106"/>
      <c r="B169" s="107"/>
      <c r="C169" s="101"/>
      <c r="D169" s="102"/>
      <c r="E169" s="104"/>
      <c r="F169" s="94"/>
      <c r="G169" s="94"/>
      <c r="H169" s="84"/>
      <c r="I169" s="84"/>
      <c r="J169" s="84"/>
      <c r="K169" s="83"/>
      <c r="L169" s="83"/>
      <c r="M169" s="85"/>
      <c r="N169" s="94"/>
      <c r="O169" s="94"/>
      <c r="P169" s="94"/>
      <c r="Q169" s="94"/>
      <c r="R169" s="94"/>
      <c r="S169" s="94"/>
      <c r="T169" s="104"/>
    </row>
    <row r="170" ht="18.6" customHeight="1" spans="1:20" x14ac:dyDescent="0.25">
      <c r="A170" s="106"/>
      <c r="B170" s="107"/>
      <c r="C170" s="103"/>
      <c r="D170" s="102"/>
      <c r="E170" s="104"/>
      <c r="F170" s="94"/>
      <c r="G170" s="94"/>
      <c r="H170" s="84"/>
      <c r="I170" s="84"/>
      <c r="J170" s="84"/>
      <c r="K170" s="83"/>
      <c r="L170" s="83"/>
      <c r="M170" s="85"/>
      <c r="N170" s="94"/>
      <c r="O170" s="94"/>
      <c r="P170" s="94"/>
      <c r="Q170" s="94"/>
      <c r="R170" s="94"/>
      <c r="S170" s="94"/>
      <c r="T170" s="104"/>
    </row>
    <row r="171" ht="18.6" customHeight="1" spans="1:20" x14ac:dyDescent="0.25">
      <c r="A171" s="106"/>
      <c r="B171" s="107"/>
      <c r="C171" s="103"/>
      <c r="D171" s="102"/>
      <c r="E171" s="104"/>
      <c r="F171" s="104"/>
      <c r="G171" s="94"/>
      <c r="H171" s="84"/>
      <c r="I171" s="84"/>
      <c r="J171" s="84"/>
      <c r="K171" s="83"/>
      <c r="L171" s="83"/>
      <c r="M171" s="85"/>
      <c r="N171" s="94"/>
      <c r="O171" s="94"/>
      <c r="P171" s="94"/>
      <c r="Q171" s="94"/>
      <c r="R171" s="94"/>
      <c r="S171" s="94"/>
      <c r="T171" s="104"/>
    </row>
    <row r="172" ht="18.6" customHeight="1" spans="1:24" s="86" customFormat="1" x14ac:dyDescent="0.25">
      <c r="A172" s="106"/>
      <c r="B172" s="107"/>
      <c r="C172" s="103"/>
      <c r="D172" s="102"/>
      <c r="E172" s="104"/>
      <c r="F172" s="94"/>
      <c r="G172" s="94"/>
      <c r="H172" s="84"/>
      <c r="I172" s="84"/>
      <c r="J172" s="84"/>
      <c r="K172" s="83"/>
      <c r="L172" s="83"/>
      <c r="M172" s="85"/>
      <c r="N172" s="94"/>
      <c r="O172" s="94"/>
      <c r="P172" s="94"/>
      <c r="Q172" s="94"/>
      <c r="R172" s="94"/>
      <c r="S172" s="94"/>
      <c r="T172" s="104"/>
      <c r="U172" s="1"/>
      <c r="V172" s="1"/>
      <c r="W172" s="1"/>
      <c r="X172" s="1"/>
    </row>
    <row r="173" ht="18.6" customHeight="1" spans="1:20" x14ac:dyDescent="0.25">
      <c r="A173" s="106"/>
      <c r="B173" s="107"/>
      <c r="C173" s="103"/>
      <c r="D173" s="102"/>
      <c r="E173" s="104"/>
      <c r="F173" s="94"/>
      <c r="G173" s="94"/>
      <c r="H173" s="84"/>
      <c r="I173" s="84"/>
      <c r="J173" s="84"/>
      <c r="K173" s="83"/>
      <c r="L173" s="83"/>
      <c r="M173" s="85"/>
      <c r="N173" s="94"/>
      <c r="O173" s="94"/>
      <c r="P173" s="94"/>
      <c r="Q173" s="94"/>
      <c r="R173" s="94"/>
      <c r="S173" s="94"/>
      <c r="T173" s="104"/>
    </row>
    <row r="174" ht="18.6" customHeight="1" spans="1:24" s="86" customFormat="1" x14ac:dyDescent="0.25">
      <c r="A174" s="106"/>
      <c r="B174" s="107"/>
      <c r="C174" s="103"/>
      <c r="D174" s="102"/>
      <c r="E174" s="104"/>
      <c r="F174" s="94"/>
      <c r="G174" s="94"/>
      <c r="H174" s="84"/>
      <c r="I174" s="84"/>
      <c r="J174" s="84"/>
      <c r="K174" s="83"/>
      <c r="L174" s="83"/>
      <c r="M174" s="85"/>
      <c r="N174" s="94"/>
      <c r="O174" s="94"/>
      <c r="P174" s="94"/>
      <c r="Q174" s="94"/>
      <c r="R174" s="94"/>
      <c r="S174" s="94"/>
      <c r="T174" s="104"/>
      <c r="U174" s="1"/>
      <c r="V174" s="1"/>
      <c r="W174" s="1"/>
      <c r="X174" s="1"/>
    </row>
    <row r="175" ht="18.6" customHeight="1" spans="1:24" s="87" customFormat="1" x14ac:dyDescent="0.25">
      <c r="A175" s="106"/>
      <c r="B175" s="107"/>
      <c r="C175" s="103"/>
      <c r="D175" s="102"/>
      <c r="E175" s="104"/>
      <c r="F175" s="94"/>
      <c r="G175" s="94"/>
      <c r="H175" s="84"/>
      <c r="I175" s="84"/>
      <c r="J175" s="84"/>
      <c r="K175" s="83"/>
      <c r="L175" s="83"/>
      <c r="M175" s="85"/>
      <c r="N175" s="94"/>
      <c r="O175" s="94"/>
      <c r="P175" s="94"/>
      <c r="Q175" s="94"/>
      <c r="R175" s="94"/>
      <c r="S175" s="94"/>
      <c r="T175" s="104"/>
      <c r="U175" s="1"/>
      <c r="V175" s="1"/>
      <c r="W175" s="1"/>
      <c r="X175" s="1"/>
    </row>
    <row r="176" ht="18.6" customHeight="1" spans="1:20" x14ac:dyDescent="0.25">
      <c r="A176" s="106"/>
      <c r="B176" s="107"/>
      <c r="C176" s="103"/>
      <c r="D176" s="102"/>
      <c r="E176" s="104"/>
      <c r="F176" s="94"/>
      <c r="G176" s="94"/>
      <c r="H176" s="84"/>
      <c r="I176" s="84"/>
      <c r="J176" s="84"/>
      <c r="K176" s="83"/>
      <c r="L176" s="83"/>
      <c r="M176" s="85"/>
      <c r="N176" s="94"/>
      <c r="O176" s="94"/>
      <c r="P176" s="94"/>
      <c r="Q176" s="94"/>
      <c r="R176" s="94"/>
      <c r="S176" s="94"/>
      <c r="T176" s="104"/>
    </row>
    <row r="177" ht="18.6" customHeight="1" spans="1:24" s="86" customFormat="1" x14ac:dyDescent="0.25">
      <c r="A177" s="106"/>
      <c r="B177" s="107"/>
      <c r="C177" s="103"/>
      <c r="D177" s="102"/>
      <c r="E177" s="104"/>
      <c r="F177" s="94"/>
      <c r="G177" s="94"/>
      <c r="H177" s="84"/>
      <c r="I177" s="84"/>
      <c r="J177" s="84"/>
      <c r="K177" s="83"/>
      <c r="L177" s="83"/>
      <c r="M177" s="85"/>
      <c r="N177" s="94"/>
      <c r="O177" s="94"/>
      <c r="P177" s="94"/>
      <c r="Q177" s="94"/>
      <c r="R177" s="94"/>
      <c r="S177" s="94"/>
      <c r="T177" s="104"/>
      <c r="U177" s="1"/>
      <c r="V177" s="1"/>
      <c r="W177" s="1"/>
      <c r="X177" s="1"/>
    </row>
    <row r="178" ht="18.6" customHeight="1" spans="1:24" s="86" customFormat="1" x14ac:dyDescent="0.25">
      <c r="A178" s="106"/>
      <c r="B178" s="107"/>
      <c r="C178" s="103"/>
      <c r="D178" s="102"/>
      <c r="E178" s="104"/>
      <c r="F178" s="94"/>
      <c r="G178" s="94"/>
      <c r="H178" s="84"/>
      <c r="I178" s="84"/>
      <c r="J178" s="84"/>
      <c r="K178" s="83"/>
      <c r="L178" s="83"/>
      <c r="M178" s="85"/>
      <c r="N178" s="94"/>
      <c r="O178" s="94"/>
      <c r="P178" s="94"/>
      <c r="Q178" s="94"/>
      <c r="R178" s="94"/>
      <c r="S178" s="94"/>
      <c r="T178" s="104"/>
      <c r="U178" s="1"/>
      <c r="V178" s="1"/>
      <c r="W178" s="1"/>
      <c r="X178" s="1"/>
    </row>
    <row r="179" ht="18.6" customHeight="1" spans="1:24" s="87" customFormat="1" x14ac:dyDescent="0.25">
      <c r="A179" s="106"/>
      <c r="B179" s="107"/>
      <c r="C179" s="103"/>
      <c r="D179" s="102"/>
      <c r="E179" s="104"/>
      <c r="F179" s="94"/>
      <c r="G179" s="94"/>
      <c r="H179" s="84"/>
      <c r="I179" s="84"/>
      <c r="J179" s="84"/>
      <c r="K179" s="83"/>
      <c r="L179" s="83"/>
      <c r="M179" s="85"/>
      <c r="N179" s="94"/>
      <c r="O179" s="94"/>
      <c r="P179" s="94"/>
      <c r="Q179" s="94"/>
      <c r="R179" s="94"/>
      <c r="S179" s="94"/>
      <c r="T179" s="104"/>
      <c r="U179" s="1"/>
      <c r="V179" s="1"/>
      <c r="W179" s="1"/>
      <c r="X179" s="1"/>
    </row>
    <row r="180" ht="18.6" customHeight="1" spans="1:20" x14ac:dyDescent="0.25">
      <c r="A180" s="106"/>
      <c r="B180" s="107"/>
      <c r="C180" s="103"/>
      <c r="D180" s="102"/>
      <c r="E180" s="104"/>
      <c r="F180" s="94"/>
      <c r="G180" s="94"/>
      <c r="H180" s="84"/>
      <c r="I180" s="84"/>
      <c r="J180" s="84"/>
      <c r="K180" s="83"/>
      <c r="L180" s="83"/>
      <c r="M180" s="85"/>
      <c r="N180" s="94"/>
      <c r="O180" s="94"/>
      <c r="P180" s="94"/>
      <c r="Q180" s="94"/>
      <c r="R180" s="94"/>
      <c r="S180" s="94"/>
      <c r="T180" s="104"/>
    </row>
    <row r="181" ht="18.6" customHeight="1" spans="1:20" x14ac:dyDescent="0.25">
      <c r="A181" s="106"/>
      <c r="B181" s="107"/>
      <c r="C181" s="103"/>
      <c r="D181" s="102"/>
      <c r="E181" s="104"/>
      <c r="F181" s="94"/>
      <c r="G181" s="94"/>
      <c r="H181" s="84"/>
      <c r="I181" s="84"/>
      <c r="J181" s="84"/>
      <c r="K181" s="83"/>
      <c r="L181" s="83"/>
      <c r="M181" s="85"/>
      <c r="N181" s="94"/>
      <c r="O181" s="94"/>
      <c r="P181" s="94"/>
      <c r="Q181" s="94"/>
      <c r="R181" s="94"/>
      <c r="S181" s="94"/>
      <c r="T181" s="104"/>
    </row>
    <row r="182" spans="1:20" x14ac:dyDescent="0.25">
      <c r="A182" s="106"/>
      <c r="B182" s="107"/>
      <c r="C182" s="103"/>
      <c r="D182" s="102"/>
      <c r="E182" s="104"/>
      <c r="F182" s="94"/>
      <c r="G182" s="94"/>
      <c r="H182" s="84"/>
      <c r="I182" s="84"/>
      <c r="J182" s="84"/>
      <c r="K182" s="83"/>
      <c r="L182" s="83"/>
      <c r="M182" s="85"/>
      <c r="N182" s="94"/>
      <c r="O182" s="94"/>
      <c r="P182" s="94"/>
      <c r="Q182" s="94"/>
      <c r="R182" s="94"/>
      <c r="S182" s="94"/>
      <c r="T182" s="104"/>
    </row>
    <row r="183" spans="1:20" x14ac:dyDescent="0.25">
      <c r="A183" s="106"/>
      <c r="B183" s="107"/>
      <c r="C183" s="103"/>
      <c r="D183" s="102"/>
      <c r="E183" s="104"/>
      <c r="F183" s="94"/>
      <c r="G183" s="94"/>
      <c r="H183" s="84"/>
      <c r="I183" s="84"/>
      <c r="J183" s="84"/>
      <c r="K183" s="83"/>
      <c r="L183" s="83"/>
      <c r="M183" s="85"/>
      <c r="N183" s="94"/>
      <c r="O183" s="94"/>
      <c r="P183" s="94"/>
      <c r="Q183" s="94"/>
      <c r="R183" s="94"/>
      <c r="S183" s="94"/>
      <c r="T183" s="104"/>
    </row>
    <row r="184" spans="1:20" x14ac:dyDescent="0.25">
      <c r="A184" s="106"/>
      <c r="B184" s="107"/>
      <c r="C184" s="101"/>
      <c r="D184" s="102"/>
      <c r="E184" s="104"/>
      <c r="F184" s="94"/>
      <c r="G184" s="94"/>
      <c r="H184" s="84"/>
      <c r="I184" s="84"/>
      <c r="J184" s="84"/>
      <c r="K184" s="83"/>
      <c r="L184" s="83"/>
      <c r="M184" s="85"/>
      <c r="N184" s="94"/>
      <c r="O184" s="94"/>
      <c r="P184" s="94"/>
      <c r="Q184" s="94"/>
      <c r="R184" s="94"/>
      <c r="S184" s="94"/>
      <c r="T184" s="104"/>
    </row>
    <row r="185" spans="1:20" x14ac:dyDescent="0.25">
      <c r="A185" s="106"/>
      <c r="B185" s="107"/>
      <c r="C185" s="101"/>
      <c r="D185" s="102"/>
      <c r="E185" s="104"/>
      <c r="F185" s="94"/>
      <c r="G185" s="94"/>
      <c r="H185" s="84"/>
      <c r="I185" s="84"/>
      <c r="J185" s="84"/>
      <c r="K185" s="83"/>
      <c r="L185" s="83"/>
      <c r="M185" s="85"/>
      <c r="N185" s="94"/>
      <c r="O185" s="94"/>
      <c r="P185" s="94"/>
      <c r="Q185" s="94"/>
      <c r="R185" s="94"/>
      <c r="S185" s="94"/>
      <c r="T185" s="104"/>
    </row>
    <row r="186" spans="1:20" x14ac:dyDescent="0.25">
      <c r="A186" s="106"/>
      <c r="B186" s="107"/>
      <c r="C186" s="103"/>
      <c r="D186" s="102"/>
      <c r="E186" s="104"/>
      <c r="F186" s="94"/>
      <c r="G186" s="94"/>
      <c r="H186" s="84"/>
      <c r="I186" s="84"/>
      <c r="J186" s="84"/>
      <c r="K186" s="83"/>
      <c r="L186" s="83"/>
      <c r="M186" s="85"/>
      <c r="N186" s="94"/>
      <c r="O186" s="94"/>
      <c r="P186" s="94"/>
      <c r="Q186" s="94"/>
      <c r="R186" s="94"/>
      <c r="S186" s="94"/>
      <c r="T186" s="104"/>
    </row>
    <row r="187" spans="1:20" x14ac:dyDescent="0.25">
      <c r="A187" s="106"/>
      <c r="B187" s="107"/>
      <c r="C187" s="103"/>
      <c r="D187" s="102"/>
      <c r="E187" s="104"/>
      <c r="F187" s="94"/>
      <c r="G187" s="94"/>
      <c r="H187" s="84"/>
      <c r="I187" s="84"/>
      <c r="J187" s="84"/>
      <c r="K187" s="83"/>
      <c r="L187" s="83"/>
      <c r="M187" s="85"/>
      <c r="N187" s="94"/>
      <c r="O187" s="94"/>
      <c r="P187" s="94"/>
      <c r="Q187" s="94"/>
      <c r="R187" s="94"/>
      <c r="S187" s="94"/>
      <c r="T187" s="104"/>
    </row>
    <row r="188" spans="1:20" x14ac:dyDescent="0.25">
      <c r="A188" s="106"/>
      <c r="B188" s="107"/>
      <c r="C188" s="101"/>
      <c r="D188" s="102"/>
      <c r="E188" s="104"/>
      <c r="F188" s="94"/>
      <c r="G188" s="94"/>
      <c r="H188" s="84"/>
      <c r="I188" s="84"/>
      <c r="J188" s="84"/>
      <c r="K188" s="83"/>
      <c r="L188" s="83"/>
      <c r="M188" s="85"/>
      <c r="N188" s="94"/>
      <c r="O188" s="94"/>
      <c r="P188" s="94"/>
      <c r="Q188" s="94"/>
      <c r="R188" s="94"/>
      <c r="S188" s="94"/>
      <c r="T188" s="104"/>
    </row>
    <row r="189" spans="1:20" x14ac:dyDescent="0.25">
      <c r="A189" s="106"/>
      <c r="B189" s="107"/>
      <c r="C189" s="101"/>
      <c r="D189" s="102"/>
      <c r="E189" s="104"/>
      <c r="F189" s="94"/>
      <c r="G189" s="94"/>
      <c r="H189" s="84"/>
      <c r="I189" s="84"/>
      <c r="J189" s="84"/>
      <c r="K189" s="83"/>
      <c r="L189" s="83"/>
      <c r="M189" s="85"/>
      <c r="N189" s="94"/>
      <c r="O189" s="94"/>
      <c r="P189" s="94"/>
      <c r="Q189" s="94"/>
      <c r="R189" s="94"/>
      <c r="S189" s="94"/>
      <c r="T189" s="104"/>
    </row>
    <row r="190" spans="1:20" x14ac:dyDescent="0.25">
      <c r="A190" s="106"/>
      <c r="B190" s="107"/>
      <c r="C190" s="101"/>
      <c r="D190" s="102"/>
      <c r="E190" s="104"/>
      <c r="F190" s="94"/>
      <c r="G190" s="94"/>
      <c r="H190" s="84"/>
      <c r="I190" s="84"/>
      <c r="J190" s="84"/>
      <c r="K190" s="83"/>
      <c r="L190" s="83"/>
      <c r="M190" s="85"/>
      <c r="N190" s="94"/>
      <c r="O190" s="94"/>
      <c r="P190" s="94"/>
      <c r="Q190" s="94"/>
      <c r="R190" s="94"/>
      <c r="S190" s="94"/>
      <c r="T190" s="104"/>
    </row>
    <row r="191" spans="1:20" x14ac:dyDescent="0.25">
      <c r="A191" s="106"/>
      <c r="B191" s="107"/>
      <c r="C191" s="101"/>
      <c r="D191" s="102"/>
      <c r="E191" s="104"/>
      <c r="F191" s="94"/>
      <c r="G191" s="94"/>
      <c r="H191" s="84"/>
      <c r="I191" s="84"/>
      <c r="J191" s="84"/>
      <c r="K191" s="83"/>
      <c r="L191" s="83"/>
      <c r="M191" s="85"/>
      <c r="N191" s="94"/>
      <c r="O191" s="94"/>
      <c r="P191" s="94"/>
      <c r="Q191" s="94"/>
      <c r="R191" s="94"/>
      <c r="S191" s="94"/>
      <c r="T191" s="104"/>
    </row>
    <row r="192" spans="1:24" s="87" customFormat="1" x14ac:dyDescent="0.25">
      <c r="A192" s="106"/>
      <c r="B192" s="107"/>
      <c r="C192" s="101"/>
      <c r="D192" s="102"/>
      <c r="E192" s="104"/>
      <c r="F192" s="94"/>
      <c r="G192" s="94"/>
      <c r="H192" s="84"/>
      <c r="I192" s="84"/>
      <c r="J192" s="84"/>
      <c r="K192" s="83"/>
      <c r="L192" s="83"/>
      <c r="M192" s="85"/>
      <c r="N192" s="94"/>
      <c r="O192" s="94"/>
      <c r="P192" s="94"/>
      <c r="Q192" s="94"/>
      <c r="R192" s="94"/>
      <c r="S192" s="94"/>
      <c r="T192" s="104"/>
      <c r="U192" s="1"/>
      <c r="V192" s="1"/>
      <c r="W192" s="1"/>
      <c r="X192" s="1"/>
    </row>
    <row r="193" spans="1:20" x14ac:dyDescent="0.25">
      <c r="A193" s="106"/>
      <c r="B193" s="107"/>
      <c r="C193" s="101"/>
      <c r="D193" s="102"/>
      <c r="E193" s="104"/>
      <c r="F193" s="94"/>
      <c r="G193" s="94"/>
      <c r="H193" s="84"/>
      <c r="I193" s="84"/>
      <c r="J193" s="84"/>
      <c r="K193" s="83"/>
      <c r="L193" s="83"/>
      <c r="M193" s="85"/>
      <c r="N193" s="94"/>
      <c r="O193" s="94"/>
      <c r="P193" s="94"/>
      <c r="Q193" s="94"/>
      <c r="R193" s="94"/>
      <c r="S193" s="94"/>
      <c r="T193" s="104"/>
    </row>
    <row r="194" spans="1:20" x14ac:dyDescent="0.25">
      <c r="A194" s="106"/>
      <c r="B194" s="107"/>
      <c r="C194" s="101"/>
      <c r="D194" s="102"/>
      <c r="E194" s="104"/>
      <c r="F194" s="94"/>
      <c r="G194" s="94"/>
      <c r="H194" s="84"/>
      <c r="I194" s="84"/>
      <c r="J194" s="84"/>
      <c r="K194" s="83"/>
      <c r="L194" s="83"/>
      <c r="M194" s="85"/>
      <c r="N194" s="94"/>
      <c r="O194" s="94"/>
      <c r="P194" s="94"/>
      <c r="Q194" s="94"/>
      <c r="R194" s="94"/>
      <c r="S194" s="94"/>
      <c r="T194" s="104"/>
    </row>
    <row r="195" spans="1:24" s="87" customFormat="1" x14ac:dyDescent="0.25">
      <c r="A195" s="106"/>
      <c r="B195" s="107"/>
      <c r="C195" s="101"/>
      <c r="D195" s="102"/>
      <c r="E195" s="104"/>
      <c r="F195" s="94"/>
      <c r="G195" s="94"/>
      <c r="H195" s="84"/>
      <c r="I195" s="84"/>
      <c r="J195" s="84"/>
      <c r="K195" s="83"/>
      <c r="L195" s="83"/>
      <c r="M195" s="85"/>
      <c r="N195" s="94"/>
      <c r="O195" s="94"/>
      <c r="P195" s="94"/>
      <c r="Q195" s="94"/>
      <c r="R195" s="94"/>
      <c r="S195" s="94"/>
      <c r="T195" s="104"/>
      <c r="U195" s="1"/>
      <c r="V195" s="1"/>
      <c r="W195" s="1"/>
      <c r="X195" s="1"/>
    </row>
    <row r="196" spans="1:24" s="87" customFormat="1" x14ac:dyDescent="0.25">
      <c r="A196" s="106"/>
      <c r="B196" s="107"/>
      <c r="C196" s="101"/>
      <c r="D196" s="102"/>
      <c r="E196" s="104"/>
      <c r="F196" s="94"/>
      <c r="G196" s="94"/>
      <c r="H196" s="84"/>
      <c r="I196" s="84"/>
      <c r="J196" s="84"/>
      <c r="K196" s="83"/>
      <c r="L196" s="83"/>
      <c r="M196" s="85"/>
      <c r="N196" s="94"/>
      <c r="O196" s="94"/>
      <c r="P196" s="94"/>
      <c r="Q196" s="94"/>
      <c r="R196" s="94"/>
      <c r="S196" s="94"/>
      <c r="T196" s="104"/>
      <c r="U196" s="1"/>
      <c r="V196" s="1"/>
      <c r="W196" s="1"/>
      <c r="X196" s="1"/>
    </row>
    <row r="197" spans="1:24" s="87" customFormat="1" x14ac:dyDescent="0.25">
      <c r="A197" s="106"/>
      <c r="B197" s="107"/>
      <c r="C197" s="101"/>
      <c r="D197" s="102"/>
      <c r="E197" s="104"/>
      <c r="F197" s="94"/>
      <c r="G197" s="94"/>
      <c r="H197" s="84"/>
      <c r="I197" s="84"/>
      <c r="J197" s="84"/>
      <c r="K197" s="83"/>
      <c r="L197" s="83"/>
      <c r="M197" s="85"/>
      <c r="N197" s="94"/>
      <c r="O197" s="94"/>
      <c r="P197" s="94"/>
      <c r="Q197" s="94"/>
      <c r="R197" s="94"/>
      <c r="S197" s="94"/>
      <c r="T197" s="104"/>
      <c r="U197" s="1"/>
      <c r="V197" s="1"/>
      <c r="W197" s="1"/>
      <c r="X197" s="1"/>
    </row>
    <row r="198" spans="1:20" x14ac:dyDescent="0.25">
      <c r="A198" s="106"/>
      <c r="B198" s="107"/>
      <c r="C198" s="101"/>
      <c r="D198" s="102"/>
      <c r="E198" s="104"/>
      <c r="F198" s="94"/>
      <c r="G198" s="94"/>
      <c r="H198" s="84"/>
      <c r="I198" s="84"/>
      <c r="J198" s="84"/>
      <c r="K198" s="83"/>
      <c r="L198" s="83"/>
      <c r="M198" s="85"/>
      <c r="N198" s="94"/>
      <c r="O198" s="94"/>
      <c r="P198" s="94"/>
      <c r="Q198" s="94"/>
      <c r="R198" s="94"/>
      <c r="S198" s="94"/>
      <c r="T198" s="104"/>
    </row>
    <row r="199" spans="1:20" x14ac:dyDescent="0.25">
      <c r="A199" s="106"/>
      <c r="B199" s="107"/>
      <c r="C199" s="101"/>
      <c r="D199" s="102"/>
      <c r="E199" s="104"/>
      <c r="F199" s="94"/>
      <c r="G199" s="94"/>
      <c r="H199" s="84"/>
      <c r="I199" s="84"/>
      <c r="J199" s="84"/>
      <c r="K199" s="83"/>
      <c r="L199" s="83"/>
      <c r="M199" s="85"/>
      <c r="N199" s="94"/>
      <c r="O199" s="94"/>
      <c r="P199" s="94"/>
      <c r="Q199" s="94"/>
      <c r="R199" s="94"/>
      <c r="S199" s="94"/>
      <c r="T199" s="104"/>
    </row>
    <row r="200" spans="1:20" x14ac:dyDescent="0.25">
      <c r="A200" s="106"/>
      <c r="B200" s="107"/>
      <c r="C200" s="101"/>
      <c r="D200" s="102"/>
      <c r="E200" s="104"/>
      <c r="F200" s="94"/>
      <c r="G200" s="94"/>
      <c r="H200" s="84"/>
      <c r="I200" s="84"/>
      <c r="J200" s="84"/>
      <c r="K200" s="83"/>
      <c r="L200" s="83"/>
      <c r="M200" s="85"/>
      <c r="N200" s="94"/>
      <c r="O200" s="94"/>
      <c r="P200" s="94"/>
      <c r="Q200" s="94"/>
      <c r="R200" s="94"/>
      <c r="S200" s="94"/>
      <c r="T200" s="104"/>
    </row>
    <row r="201" spans="1:20" x14ac:dyDescent="0.25">
      <c r="A201" s="106"/>
      <c r="B201" s="107"/>
      <c r="C201" s="101"/>
      <c r="D201" s="102"/>
      <c r="E201" s="104"/>
      <c r="F201" s="94"/>
      <c r="G201" s="94"/>
      <c r="H201" s="84"/>
      <c r="I201" s="84"/>
      <c r="J201" s="84"/>
      <c r="K201" s="83"/>
      <c r="L201" s="83"/>
      <c r="M201" s="85"/>
      <c r="N201" s="94"/>
      <c r="O201" s="94"/>
      <c r="P201" s="94"/>
      <c r="Q201" s="94"/>
      <c r="R201" s="94"/>
      <c r="S201" s="94"/>
      <c r="T201" s="104"/>
    </row>
    <row r="202" spans="1:20" x14ac:dyDescent="0.25">
      <c r="A202" s="106"/>
      <c r="B202" s="107"/>
      <c r="C202" s="101"/>
      <c r="D202" s="102"/>
      <c r="E202" s="104"/>
      <c r="F202" s="94"/>
      <c r="G202" s="94"/>
      <c r="H202" s="84"/>
      <c r="I202" s="84"/>
      <c r="J202" s="84"/>
      <c r="K202" s="83"/>
      <c r="L202" s="83"/>
      <c r="M202" s="85"/>
      <c r="N202" s="94"/>
      <c r="O202" s="94"/>
      <c r="P202" s="94"/>
      <c r="Q202" s="94"/>
      <c r="R202" s="94"/>
      <c r="S202" s="94"/>
      <c r="T202" s="104"/>
    </row>
    <row r="203" spans="1:20" x14ac:dyDescent="0.25">
      <c r="A203" s="106"/>
      <c r="B203" s="107"/>
      <c r="C203" s="101"/>
      <c r="D203" s="102"/>
      <c r="E203" s="104"/>
      <c r="F203" s="94"/>
      <c r="G203" s="94"/>
      <c r="H203" s="84"/>
      <c r="I203" s="84"/>
      <c r="J203" s="84"/>
      <c r="K203" s="83"/>
      <c r="L203" s="83"/>
      <c r="M203" s="85"/>
      <c r="N203" s="94"/>
      <c r="O203" s="94"/>
      <c r="P203" s="94"/>
      <c r="Q203" s="94"/>
      <c r="R203" s="94"/>
      <c r="S203" s="94"/>
      <c r="T203" s="104"/>
    </row>
    <row r="204" spans="1:20" x14ac:dyDescent="0.25">
      <c r="A204" s="106"/>
      <c r="B204" s="107"/>
      <c r="C204" s="101"/>
      <c r="D204" s="102"/>
      <c r="E204" s="104"/>
      <c r="F204" s="94"/>
      <c r="G204" s="94"/>
      <c r="H204" s="84"/>
      <c r="I204" s="84"/>
      <c r="J204" s="84"/>
      <c r="K204" s="83"/>
      <c r="L204" s="83"/>
      <c r="M204" s="85"/>
      <c r="N204" s="94"/>
      <c r="O204" s="94"/>
      <c r="P204" s="94"/>
      <c r="Q204" s="94"/>
      <c r="R204" s="94"/>
      <c r="S204" s="94"/>
      <c r="T204" s="104"/>
    </row>
    <row r="205" spans="1:20" x14ac:dyDescent="0.25">
      <c r="A205" s="106"/>
      <c r="B205" s="107"/>
      <c r="C205" s="101"/>
      <c r="D205" s="102"/>
      <c r="E205" s="104"/>
      <c r="F205" s="94"/>
      <c r="G205" s="94"/>
      <c r="H205" s="84"/>
      <c r="I205" s="84"/>
      <c r="J205" s="84"/>
      <c r="K205" s="83"/>
      <c r="L205" s="83"/>
      <c r="M205" s="85"/>
      <c r="N205" s="94"/>
      <c r="O205" s="94"/>
      <c r="P205" s="94"/>
      <c r="Q205" s="94"/>
      <c r="R205" s="94"/>
      <c r="S205" s="94"/>
      <c r="T205" s="104"/>
    </row>
    <row r="206" spans="1:20" x14ac:dyDescent="0.25">
      <c r="A206" s="106"/>
      <c r="B206" s="107"/>
      <c r="C206" s="101"/>
      <c r="D206" s="102"/>
      <c r="E206" s="104"/>
      <c r="F206" s="94"/>
      <c r="G206" s="94"/>
      <c r="H206" s="84"/>
      <c r="I206" s="84"/>
      <c r="J206" s="84"/>
      <c r="K206" s="83"/>
      <c r="L206" s="83"/>
      <c r="M206" s="85"/>
      <c r="N206" s="94"/>
      <c r="O206" s="94"/>
      <c r="P206" s="94"/>
      <c r="Q206" s="94"/>
      <c r="R206" s="94"/>
      <c r="S206" s="94"/>
      <c r="T206" s="104"/>
    </row>
    <row r="207" spans="1:20" x14ac:dyDescent="0.25">
      <c r="A207" s="106"/>
      <c r="B207" s="107"/>
      <c r="C207" s="101"/>
      <c r="D207" s="102"/>
      <c r="E207" s="104"/>
      <c r="F207" s="94"/>
      <c r="G207" s="94"/>
      <c r="H207" s="84"/>
      <c r="I207" s="84"/>
      <c r="J207" s="84"/>
      <c r="K207" s="83"/>
      <c r="L207" s="83"/>
      <c r="M207" s="85"/>
      <c r="N207" s="94"/>
      <c r="O207" s="94"/>
      <c r="P207" s="94"/>
      <c r="Q207" s="94"/>
      <c r="R207" s="94"/>
      <c r="S207" s="94"/>
      <c r="T207" s="104"/>
    </row>
    <row r="208" spans="1:20" x14ac:dyDescent="0.25">
      <c r="A208" s="106"/>
      <c r="B208" s="107"/>
      <c r="C208" s="101"/>
      <c r="D208" s="102"/>
      <c r="E208" s="104"/>
      <c r="F208" s="94"/>
      <c r="G208" s="94"/>
      <c r="H208" s="84"/>
      <c r="I208" s="84"/>
      <c r="J208" s="84"/>
      <c r="K208" s="83"/>
      <c r="L208" s="83"/>
      <c r="M208" s="85"/>
      <c r="N208" s="94"/>
      <c r="O208" s="94"/>
      <c r="P208" s="94"/>
      <c r="Q208" s="94"/>
      <c r="R208" s="94"/>
      <c r="S208" s="94"/>
      <c r="T208" s="104"/>
    </row>
    <row r="209" spans="1:20" x14ac:dyDescent="0.25">
      <c r="A209" s="106"/>
      <c r="B209" s="107"/>
      <c r="C209" s="101"/>
      <c r="D209" s="102"/>
      <c r="E209" s="104"/>
      <c r="F209" s="94"/>
      <c r="G209" s="94"/>
      <c r="H209" s="84"/>
      <c r="I209" s="84"/>
      <c r="J209" s="84"/>
      <c r="K209" s="83"/>
      <c r="L209" s="83"/>
      <c r="M209" s="85"/>
      <c r="N209" s="94"/>
      <c r="O209" s="94"/>
      <c r="P209" s="94"/>
      <c r="Q209" s="94"/>
      <c r="R209" s="94"/>
      <c r="S209" s="94"/>
      <c r="T209" s="104"/>
    </row>
    <row r="210" spans="1:20" x14ac:dyDescent="0.25">
      <c r="A210" s="106"/>
      <c r="B210" s="107"/>
      <c r="C210" s="101"/>
      <c r="D210" s="102"/>
      <c r="E210" s="104"/>
      <c r="F210" s="94"/>
      <c r="G210" s="94"/>
      <c r="H210" s="84"/>
      <c r="I210" s="84"/>
      <c r="J210" s="84"/>
      <c r="K210" s="83"/>
      <c r="L210" s="83"/>
      <c r="M210" s="85"/>
      <c r="N210" s="94"/>
      <c r="O210" s="94"/>
      <c r="P210" s="94"/>
      <c r="Q210" s="94"/>
      <c r="R210" s="94"/>
      <c r="S210" s="94"/>
      <c r="T210" s="104"/>
    </row>
    <row r="211" spans="1:24" s="87" customFormat="1" x14ac:dyDescent="0.25">
      <c r="A211" s="106"/>
      <c r="B211" s="107"/>
      <c r="C211" s="101"/>
      <c r="D211" s="102"/>
      <c r="E211" s="104"/>
      <c r="F211" s="94"/>
      <c r="G211" s="94"/>
      <c r="H211" s="84"/>
      <c r="I211" s="84"/>
      <c r="J211" s="84"/>
      <c r="K211" s="83"/>
      <c r="L211" s="83"/>
      <c r="M211" s="85"/>
      <c r="N211" s="94"/>
      <c r="O211" s="94"/>
      <c r="P211" s="94"/>
      <c r="Q211" s="94"/>
      <c r="R211" s="94"/>
      <c r="S211" s="94"/>
      <c r="T211" s="104"/>
      <c r="U211" s="1"/>
      <c r="V211" s="1"/>
      <c r="W211" s="1"/>
      <c r="X211" s="1"/>
    </row>
    <row r="212" spans="1:20" x14ac:dyDescent="0.25">
      <c r="A212" s="106"/>
      <c r="B212" s="107"/>
      <c r="C212" s="101"/>
      <c r="D212" s="102"/>
      <c r="E212" s="104"/>
      <c r="F212" s="94"/>
      <c r="G212" s="94"/>
      <c r="H212" s="84"/>
      <c r="I212" s="84"/>
      <c r="J212" s="84"/>
      <c r="K212" s="83"/>
      <c r="L212" s="83"/>
      <c r="M212" s="85"/>
      <c r="N212" s="94"/>
      <c r="O212" s="94"/>
      <c r="P212" s="94"/>
      <c r="Q212" s="94"/>
      <c r="R212" s="94"/>
      <c r="S212" s="94"/>
      <c r="T212" s="104"/>
    </row>
    <row r="213" spans="1:20" x14ac:dyDescent="0.25">
      <c r="A213" s="106"/>
      <c r="B213" s="107"/>
      <c r="C213" s="101"/>
      <c r="D213" s="102"/>
      <c r="E213" s="104"/>
      <c r="F213" s="94"/>
      <c r="G213" s="94"/>
      <c r="H213" s="84"/>
      <c r="I213" s="84"/>
      <c r="J213" s="84"/>
      <c r="K213" s="83"/>
      <c r="L213" s="83"/>
      <c r="M213" s="85"/>
      <c r="N213" s="94"/>
      <c r="O213" s="94"/>
      <c r="P213" s="94"/>
      <c r="Q213" s="94"/>
      <c r="R213" s="94"/>
      <c r="S213" s="94"/>
      <c r="T213" s="104"/>
    </row>
    <row r="214" spans="1:20" x14ac:dyDescent="0.25">
      <c r="A214" s="106"/>
      <c r="B214" s="107"/>
      <c r="C214" s="101"/>
      <c r="D214" s="102"/>
      <c r="E214" s="104"/>
      <c r="F214" s="94"/>
      <c r="G214" s="94"/>
      <c r="H214" s="84"/>
      <c r="I214" s="84"/>
      <c r="J214" s="84"/>
      <c r="K214" s="83"/>
      <c r="L214" s="83"/>
      <c r="M214" s="85"/>
      <c r="N214" s="94"/>
      <c r="O214" s="94"/>
      <c r="P214" s="94"/>
      <c r="Q214" s="94"/>
      <c r="R214" s="94"/>
      <c r="S214" s="94"/>
      <c r="T214" s="104"/>
    </row>
    <row r="215" spans="1:20" x14ac:dyDescent="0.25">
      <c r="A215" s="106"/>
      <c r="B215" s="107"/>
      <c r="C215" s="101"/>
      <c r="D215" s="102"/>
      <c r="E215" s="104"/>
      <c r="F215" s="94"/>
      <c r="G215" s="94"/>
      <c r="H215" s="84"/>
      <c r="I215" s="84"/>
      <c r="J215" s="84"/>
      <c r="K215" s="83"/>
      <c r="L215" s="83"/>
      <c r="M215" s="85"/>
      <c r="N215" s="94"/>
      <c r="O215" s="94"/>
      <c r="P215" s="94"/>
      <c r="Q215" s="94"/>
      <c r="R215" s="94"/>
      <c r="S215" s="94"/>
      <c r="T215" s="104"/>
    </row>
    <row r="216" spans="1:20" x14ac:dyDescent="0.25">
      <c r="A216" s="106"/>
      <c r="B216" s="107"/>
      <c r="C216" s="101"/>
      <c r="D216" s="102"/>
      <c r="E216" s="104"/>
      <c r="F216" s="94"/>
      <c r="G216" s="108"/>
      <c r="H216" s="84"/>
      <c r="I216" s="84"/>
      <c r="J216" s="84"/>
      <c r="K216" s="83"/>
      <c r="L216" s="83"/>
      <c r="M216" s="85"/>
      <c r="N216" s="94"/>
      <c r="O216" s="94"/>
      <c r="P216" s="94"/>
      <c r="Q216" s="94"/>
      <c r="R216" s="94"/>
      <c r="S216" s="94"/>
      <c r="T216" s="104"/>
    </row>
    <row r="217" spans="1:20" x14ac:dyDescent="0.25">
      <c r="A217" s="106"/>
      <c r="B217" s="107"/>
      <c r="C217" s="101"/>
      <c r="D217" s="102"/>
      <c r="E217" s="104"/>
      <c r="F217" s="94"/>
      <c r="G217" s="94"/>
      <c r="H217" s="84"/>
      <c r="I217" s="84"/>
      <c r="J217" s="84"/>
      <c r="K217" s="83"/>
      <c r="L217" s="83"/>
      <c r="M217" s="85"/>
      <c r="N217" s="94"/>
      <c r="O217" s="94"/>
      <c r="P217" s="94"/>
      <c r="Q217" s="94"/>
      <c r="R217" s="94"/>
      <c r="S217" s="94"/>
      <c r="T217" s="104"/>
    </row>
    <row r="218" spans="1:20" x14ac:dyDescent="0.25">
      <c r="A218" s="106"/>
      <c r="B218" s="107"/>
      <c r="C218" s="101"/>
      <c r="D218" s="102"/>
      <c r="E218" s="104"/>
      <c r="F218" s="94"/>
      <c r="G218" s="94"/>
      <c r="H218" s="84"/>
      <c r="I218" s="84"/>
      <c r="J218" s="84"/>
      <c r="K218" s="83"/>
      <c r="L218" s="83"/>
      <c r="M218" s="85"/>
      <c r="N218" s="94"/>
      <c r="O218" s="94"/>
      <c r="P218" s="94"/>
      <c r="Q218" s="94"/>
      <c r="R218" s="94"/>
      <c r="S218" s="94"/>
      <c r="T218" s="104"/>
    </row>
    <row r="219" spans="1:20" x14ac:dyDescent="0.25">
      <c r="A219" s="106"/>
      <c r="B219" s="107"/>
      <c r="C219" s="101"/>
      <c r="D219" s="102"/>
      <c r="E219" s="104"/>
      <c r="F219" s="94"/>
      <c r="G219" s="94"/>
      <c r="H219" s="84"/>
      <c r="I219" s="84"/>
      <c r="J219" s="84"/>
      <c r="K219" s="83"/>
      <c r="L219" s="83"/>
      <c r="M219" s="85"/>
      <c r="N219" s="94"/>
      <c r="O219" s="94"/>
      <c r="P219" s="94"/>
      <c r="Q219" s="94"/>
      <c r="R219" s="94"/>
      <c r="S219" s="94"/>
      <c r="T219" s="104"/>
    </row>
    <row r="220" spans="1:20" x14ac:dyDescent="0.25">
      <c r="A220" s="106"/>
      <c r="B220" s="107"/>
      <c r="C220" s="101"/>
      <c r="D220" s="102"/>
      <c r="E220" s="104"/>
      <c r="F220" s="94"/>
      <c r="G220" s="94"/>
      <c r="H220" s="84"/>
      <c r="I220" s="84"/>
      <c r="J220" s="84"/>
      <c r="K220" s="83"/>
      <c r="L220" s="83"/>
      <c r="M220" s="85"/>
      <c r="N220" s="94"/>
      <c r="O220" s="94"/>
      <c r="P220" s="94"/>
      <c r="Q220" s="94"/>
      <c r="R220" s="94"/>
      <c r="S220" s="94"/>
      <c r="T220" s="104"/>
    </row>
    <row r="221" spans="1:20" x14ac:dyDescent="0.25">
      <c r="A221" s="106"/>
      <c r="B221" s="107"/>
      <c r="C221" s="101"/>
      <c r="D221" s="102"/>
      <c r="E221" s="104"/>
      <c r="F221" s="94"/>
      <c r="G221" s="94"/>
      <c r="H221" s="84"/>
      <c r="I221" s="84"/>
      <c r="J221" s="84"/>
      <c r="K221" s="83"/>
      <c r="L221" s="83"/>
      <c r="M221" s="85"/>
      <c r="N221" s="94"/>
      <c r="O221" s="94"/>
      <c r="P221" s="94"/>
      <c r="Q221" s="94"/>
      <c r="R221" s="94"/>
      <c r="S221" s="94"/>
      <c r="T221" s="104"/>
    </row>
    <row r="222" spans="1:20" x14ac:dyDescent="0.25">
      <c r="A222" s="101"/>
      <c r="B222" s="102"/>
      <c r="C222" s="101"/>
      <c r="D222" s="102"/>
      <c r="E222" s="104"/>
      <c r="F222" s="94"/>
      <c r="G222" s="94"/>
      <c r="H222" s="84"/>
      <c r="I222" s="84"/>
      <c r="J222" s="84"/>
      <c r="K222" s="83"/>
      <c r="L222" s="83"/>
      <c r="M222" s="85"/>
      <c r="N222" s="94"/>
      <c r="O222" s="94"/>
      <c r="P222" s="94"/>
      <c r="Q222" s="94"/>
      <c r="R222" s="94"/>
      <c r="S222" s="94"/>
      <c r="T222" s="104"/>
    </row>
    <row r="223" spans="1:20" x14ac:dyDescent="0.25">
      <c r="A223" s="101"/>
      <c r="B223" s="102"/>
      <c r="C223" s="101"/>
      <c r="D223" s="102"/>
      <c r="E223" s="104"/>
      <c r="F223" s="94"/>
      <c r="G223" s="94"/>
      <c r="H223" s="84"/>
      <c r="I223" s="84"/>
      <c r="J223" s="84"/>
      <c r="K223" s="83"/>
      <c r="L223" s="83"/>
      <c r="M223" s="85"/>
      <c r="N223" s="94"/>
      <c r="O223" s="94"/>
      <c r="P223" s="94"/>
      <c r="Q223" s="94"/>
      <c r="R223" s="94"/>
      <c r="S223" s="94"/>
      <c r="T223" s="104"/>
    </row>
    <row r="224" spans="1:20" x14ac:dyDescent="0.25">
      <c r="A224" s="101"/>
      <c r="B224" s="102"/>
      <c r="C224" s="101"/>
      <c r="D224" s="102"/>
      <c r="E224" s="104"/>
      <c r="F224" s="94"/>
      <c r="G224" s="94"/>
      <c r="H224" s="84"/>
      <c r="I224" s="84"/>
      <c r="J224" s="84"/>
      <c r="K224" s="83"/>
      <c r="L224" s="83"/>
      <c r="M224" s="85"/>
      <c r="N224" s="94"/>
      <c r="O224" s="94"/>
      <c r="P224" s="94"/>
      <c r="Q224" s="94"/>
      <c r="R224" s="94"/>
      <c r="S224" s="94"/>
      <c r="T224" s="104"/>
    </row>
    <row r="225" spans="1:20" x14ac:dyDescent="0.25">
      <c r="A225" s="101"/>
      <c r="B225" s="102"/>
      <c r="C225" s="101"/>
      <c r="D225" s="102"/>
      <c r="E225" s="104"/>
      <c r="F225" s="94"/>
      <c r="G225" s="94"/>
      <c r="H225" s="84"/>
      <c r="I225" s="84"/>
      <c r="J225" s="84"/>
      <c r="K225" s="83"/>
      <c r="L225" s="83"/>
      <c r="M225" s="85"/>
      <c r="N225" s="94"/>
      <c r="O225" s="94"/>
      <c r="P225" s="94"/>
      <c r="Q225" s="94"/>
      <c r="R225" s="94"/>
      <c r="S225" s="94"/>
      <c r="T225" s="104"/>
    </row>
    <row r="226" spans="1:20" x14ac:dyDescent="0.25">
      <c r="A226" s="101"/>
      <c r="B226" s="102"/>
      <c r="C226" s="101"/>
      <c r="D226" s="102"/>
      <c r="E226" s="104"/>
      <c r="F226" s="94"/>
      <c r="G226" s="94"/>
      <c r="H226" s="84"/>
      <c r="I226" s="84"/>
      <c r="J226" s="84"/>
      <c r="K226" s="83"/>
      <c r="L226" s="83"/>
      <c r="M226" s="85"/>
      <c r="N226" s="94"/>
      <c r="O226" s="94"/>
      <c r="P226" s="94"/>
      <c r="Q226" s="94"/>
      <c r="R226" s="94"/>
      <c r="S226" s="94"/>
      <c r="T226" s="104"/>
    </row>
    <row r="227" spans="1:20" x14ac:dyDescent="0.25">
      <c r="A227" s="101"/>
      <c r="B227" s="102"/>
      <c r="C227" s="101"/>
      <c r="D227" s="102"/>
      <c r="E227" s="104"/>
      <c r="F227" s="94"/>
      <c r="G227" s="94"/>
      <c r="H227" s="84"/>
      <c r="I227" s="84"/>
      <c r="J227" s="84"/>
      <c r="K227" s="83"/>
      <c r="L227" s="83"/>
      <c r="M227" s="85"/>
      <c r="N227" s="94"/>
      <c r="O227" s="94"/>
      <c r="P227" s="94"/>
      <c r="Q227" s="94"/>
      <c r="R227" s="94"/>
      <c r="S227" s="94"/>
      <c r="T227" s="104"/>
    </row>
    <row r="228" spans="1:20" x14ac:dyDescent="0.25">
      <c r="A228" s="101"/>
      <c r="B228" s="102"/>
      <c r="C228" s="101"/>
      <c r="D228" s="102"/>
      <c r="E228" s="104"/>
      <c r="F228" s="94"/>
      <c r="G228" s="94"/>
      <c r="H228" s="84"/>
      <c r="I228" s="84"/>
      <c r="J228" s="84"/>
      <c r="K228" s="83"/>
      <c r="L228" s="83"/>
      <c r="M228" s="85"/>
      <c r="N228" s="94"/>
      <c r="O228" s="94"/>
      <c r="P228" s="94"/>
      <c r="Q228" s="94"/>
      <c r="R228" s="94"/>
      <c r="S228" s="94"/>
      <c r="T228" s="104"/>
    </row>
    <row r="229" spans="1:20" x14ac:dyDescent="0.25">
      <c r="A229" s="101"/>
      <c r="B229" s="102"/>
      <c r="C229" s="101"/>
      <c r="D229" s="102"/>
      <c r="E229" s="104"/>
      <c r="F229" s="94"/>
      <c r="G229" s="94"/>
      <c r="H229" s="84"/>
      <c r="I229" s="84"/>
      <c r="J229" s="84"/>
      <c r="K229" s="83"/>
      <c r="L229" s="83"/>
      <c r="M229" s="85"/>
      <c r="N229" s="94"/>
      <c r="O229" s="94"/>
      <c r="P229" s="94"/>
      <c r="Q229" s="94"/>
      <c r="R229" s="94"/>
      <c r="S229" s="94"/>
      <c r="T229" s="104"/>
    </row>
    <row r="230" spans="1:20" x14ac:dyDescent="0.25">
      <c r="A230" s="101"/>
      <c r="B230" s="102"/>
      <c r="C230" s="101"/>
      <c r="D230" s="102"/>
      <c r="E230" s="104"/>
      <c r="F230" s="94"/>
      <c r="G230" s="94"/>
      <c r="H230" s="84"/>
      <c r="I230" s="84"/>
      <c r="J230" s="84"/>
      <c r="K230" s="83"/>
      <c r="L230" s="83"/>
      <c r="M230" s="85"/>
      <c r="N230" s="94"/>
      <c r="O230" s="94"/>
      <c r="P230" s="94"/>
      <c r="Q230" s="94"/>
      <c r="R230" s="94"/>
      <c r="S230" s="94"/>
      <c r="T230" s="104"/>
    </row>
    <row r="231" spans="1:20" x14ac:dyDescent="0.25">
      <c r="A231" s="101"/>
      <c r="B231" s="102"/>
      <c r="C231" s="101"/>
      <c r="D231" s="102"/>
      <c r="E231" s="104"/>
      <c r="F231" s="94"/>
      <c r="G231" s="94"/>
      <c r="H231" s="84"/>
      <c r="I231" s="84"/>
      <c r="J231" s="84"/>
      <c r="K231" s="83"/>
      <c r="L231" s="83"/>
      <c r="M231" s="85"/>
      <c r="N231" s="94"/>
      <c r="O231" s="94"/>
      <c r="P231" s="94"/>
      <c r="Q231" s="94"/>
      <c r="R231" s="94"/>
      <c r="S231" s="94"/>
      <c r="T231" s="104"/>
    </row>
    <row r="232" spans="1:20" x14ac:dyDescent="0.25">
      <c r="A232" s="101"/>
      <c r="B232" s="102"/>
      <c r="C232" s="101"/>
      <c r="D232" s="102"/>
      <c r="E232" s="104"/>
      <c r="F232" s="94"/>
      <c r="G232" s="94"/>
      <c r="H232" s="84"/>
      <c r="I232" s="84"/>
      <c r="J232" s="84"/>
      <c r="K232" s="83"/>
      <c r="L232" s="83"/>
      <c r="M232" s="85"/>
      <c r="N232" s="94"/>
      <c r="O232" s="94"/>
      <c r="P232" s="94"/>
      <c r="Q232" s="94"/>
      <c r="R232" s="94"/>
      <c r="S232" s="94"/>
      <c r="T232" s="104"/>
    </row>
    <row r="233" spans="1:20" x14ac:dyDescent="0.25">
      <c r="A233" s="101"/>
      <c r="B233" s="102"/>
      <c r="C233" s="101"/>
      <c r="D233" s="102"/>
      <c r="E233" s="104"/>
      <c r="F233" s="94"/>
      <c r="G233" s="94"/>
      <c r="H233" s="84"/>
      <c r="I233" s="84"/>
      <c r="J233" s="84"/>
      <c r="K233" s="83"/>
      <c r="L233" s="83"/>
      <c r="M233" s="85"/>
      <c r="N233" s="94"/>
      <c r="O233" s="94"/>
      <c r="P233" s="94"/>
      <c r="Q233" s="94"/>
      <c r="R233" s="94"/>
      <c r="S233" s="94"/>
      <c r="T233" s="104"/>
    </row>
    <row r="234" spans="1:20" x14ac:dyDescent="0.25">
      <c r="A234" s="101"/>
      <c r="B234" s="102"/>
      <c r="C234" s="101"/>
      <c r="D234" s="102"/>
      <c r="E234" s="104"/>
      <c r="F234" s="94"/>
      <c r="G234" s="94"/>
      <c r="H234" s="84"/>
      <c r="I234" s="84"/>
      <c r="J234" s="84"/>
      <c r="K234" s="83"/>
      <c r="L234" s="83"/>
      <c r="M234" s="85"/>
      <c r="N234" s="94"/>
      <c r="O234" s="94"/>
      <c r="P234" s="94"/>
      <c r="Q234" s="94"/>
      <c r="R234" s="94"/>
      <c r="S234" s="94"/>
      <c r="T234" s="104"/>
    </row>
    <row r="235" spans="1:20" x14ac:dyDescent="0.25">
      <c r="A235" s="101"/>
      <c r="B235" s="102"/>
      <c r="C235" s="101"/>
      <c r="D235" s="102"/>
      <c r="E235" s="104"/>
      <c r="F235" s="94"/>
      <c r="G235" s="94"/>
      <c r="H235" s="84"/>
      <c r="I235" s="84"/>
      <c r="J235" s="84"/>
      <c r="K235" s="83"/>
      <c r="L235" s="83"/>
      <c r="M235" s="85"/>
      <c r="N235" s="94"/>
      <c r="O235" s="94"/>
      <c r="P235" s="94"/>
      <c r="Q235" s="94"/>
      <c r="R235" s="94"/>
      <c r="S235" s="94"/>
      <c r="T235" s="104"/>
    </row>
    <row r="236" spans="1:20" x14ac:dyDescent="0.25">
      <c r="A236" s="101"/>
      <c r="B236" s="102"/>
      <c r="C236" s="101"/>
      <c r="D236" s="102"/>
      <c r="E236" s="104"/>
      <c r="F236" s="94"/>
      <c r="G236" s="94"/>
      <c r="H236" s="84"/>
      <c r="I236" s="84"/>
      <c r="J236" s="84"/>
      <c r="K236" s="83"/>
      <c r="L236" s="83"/>
      <c r="M236" s="85"/>
      <c r="N236" s="94"/>
      <c r="O236" s="94"/>
      <c r="P236" s="94"/>
      <c r="Q236" s="94"/>
      <c r="R236" s="94"/>
      <c r="S236" s="94"/>
      <c r="T236" s="104"/>
    </row>
    <row r="237" spans="1:20" x14ac:dyDescent="0.25">
      <c r="A237" s="101"/>
      <c r="B237" s="102"/>
      <c r="C237" s="101"/>
      <c r="D237" s="102"/>
      <c r="E237" s="104"/>
      <c r="F237" s="94"/>
      <c r="G237" s="94"/>
      <c r="H237" s="84"/>
      <c r="I237" s="84"/>
      <c r="J237" s="84"/>
      <c r="K237" s="83"/>
      <c r="L237" s="83"/>
      <c r="M237" s="85"/>
      <c r="N237" s="94"/>
      <c r="O237" s="94"/>
      <c r="P237" s="94"/>
      <c r="Q237" s="94"/>
      <c r="R237" s="94"/>
      <c r="S237" s="94"/>
      <c r="T237" s="104"/>
    </row>
    <row r="238" spans="1:20" x14ac:dyDescent="0.25">
      <c r="A238" s="101"/>
      <c r="B238" s="102"/>
      <c r="C238" s="101"/>
      <c r="D238" s="102"/>
      <c r="E238" s="104"/>
      <c r="F238" s="94"/>
      <c r="G238" s="94"/>
      <c r="H238" s="84"/>
      <c r="I238" s="84"/>
      <c r="J238" s="84"/>
      <c r="K238" s="83"/>
      <c r="L238" s="83"/>
      <c r="M238" s="85"/>
      <c r="N238" s="94"/>
      <c r="O238" s="94"/>
      <c r="P238" s="94"/>
      <c r="Q238" s="94"/>
      <c r="R238" s="94"/>
      <c r="S238" s="94"/>
      <c r="T238" s="104"/>
    </row>
    <row r="239" spans="1:20" x14ac:dyDescent="0.25">
      <c r="A239" s="101"/>
      <c r="B239" s="102"/>
      <c r="C239" s="101"/>
      <c r="D239" s="102"/>
      <c r="E239" s="104"/>
      <c r="F239" s="94"/>
      <c r="G239" s="94"/>
      <c r="H239" s="84"/>
      <c r="I239" s="84"/>
      <c r="J239" s="84"/>
      <c r="K239" s="83"/>
      <c r="L239" s="83"/>
      <c r="M239" s="85"/>
      <c r="N239" s="94"/>
      <c r="O239" s="94"/>
      <c r="P239" s="94"/>
      <c r="Q239" s="94"/>
      <c r="R239" s="94"/>
      <c r="S239" s="94"/>
      <c r="T239" s="104"/>
    </row>
    <row r="240" spans="1:20" x14ac:dyDescent="0.25">
      <c r="A240" s="101"/>
      <c r="B240" s="102"/>
      <c r="C240" s="101"/>
      <c r="D240" s="102"/>
      <c r="E240" s="104"/>
      <c r="F240" s="94"/>
      <c r="G240" s="94"/>
      <c r="H240" s="84"/>
      <c r="I240" s="84"/>
      <c r="J240" s="84"/>
      <c r="K240" s="83"/>
      <c r="L240" s="83"/>
      <c r="M240" s="85"/>
      <c r="N240" s="94"/>
      <c r="O240" s="94"/>
      <c r="P240" s="94"/>
      <c r="Q240" s="94"/>
      <c r="R240" s="94"/>
      <c r="S240" s="94"/>
      <c r="T240" s="104"/>
    </row>
    <row r="241" spans="1:20" x14ac:dyDescent="0.25">
      <c r="A241" s="101"/>
      <c r="B241" s="102"/>
      <c r="C241" s="101"/>
      <c r="D241" s="102"/>
      <c r="E241" s="104"/>
      <c r="F241" s="94"/>
      <c r="G241" s="94"/>
      <c r="H241" s="84"/>
      <c r="I241" s="84"/>
      <c r="J241" s="84"/>
      <c r="K241" s="83"/>
      <c r="L241" s="83"/>
      <c r="M241" s="85"/>
      <c r="N241" s="94"/>
      <c r="O241" s="94"/>
      <c r="P241" s="94"/>
      <c r="Q241" s="94"/>
      <c r="R241" s="94"/>
      <c r="S241" s="94"/>
      <c r="T241" s="104"/>
    </row>
    <row r="242" spans="1:20" x14ac:dyDescent="0.25">
      <c r="A242" s="101"/>
      <c r="B242" s="102"/>
      <c r="C242" s="101"/>
      <c r="D242" s="102"/>
      <c r="E242" s="104"/>
      <c r="F242" s="94"/>
      <c r="G242" s="94"/>
      <c r="H242" s="84"/>
      <c r="I242" s="84"/>
      <c r="J242" s="84"/>
      <c r="K242" s="83"/>
      <c r="L242" s="83"/>
      <c r="M242" s="85"/>
      <c r="N242" s="94"/>
      <c r="O242" s="94"/>
      <c r="P242" s="94"/>
      <c r="Q242" s="94"/>
      <c r="R242" s="94"/>
      <c r="S242" s="94"/>
      <c r="T242" s="104"/>
    </row>
    <row r="243" spans="1:20" x14ac:dyDescent="0.25">
      <c r="A243" s="101"/>
      <c r="B243" s="102"/>
      <c r="C243" s="101"/>
      <c r="D243" s="102"/>
      <c r="E243" s="104"/>
      <c r="F243" s="94"/>
      <c r="G243" s="94"/>
      <c r="H243" s="84"/>
      <c r="I243" s="84"/>
      <c r="J243" s="84"/>
      <c r="K243" s="83"/>
      <c r="L243" s="83"/>
      <c r="M243" s="85"/>
      <c r="N243" s="94"/>
      <c r="O243" s="94"/>
      <c r="P243" s="94"/>
      <c r="Q243" s="94"/>
      <c r="R243" s="94"/>
      <c r="S243" s="94"/>
      <c r="T243" s="104"/>
    </row>
    <row r="244" spans="1:20" x14ac:dyDescent="0.25">
      <c r="A244" s="101"/>
      <c r="B244" s="102"/>
      <c r="C244" s="101"/>
      <c r="D244" s="102"/>
      <c r="E244" s="104"/>
      <c r="F244" s="94"/>
      <c r="G244" s="94"/>
      <c r="H244" s="84"/>
      <c r="I244" s="84"/>
      <c r="J244" s="84"/>
      <c r="K244" s="83"/>
      <c r="L244" s="83"/>
      <c r="M244" s="85"/>
      <c r="N244" s="94"/>
      <c r="O244" s="94"/>
      <c r="P244" s="94"/>
      <c r="Q244" s="94"/>
      <c r="R244" s="94"/>
      <c r="S244" s="94"/>
      <c r="T244" s="104"/>
    </row>
    <row r="245" spans="1:20" x14ac:dyDescent="0.25">
      <c r="A245" s="101"/>
      <c r="B245" s="102"/>
      <c r="C245" s="101"/>
      <c r="D245" s="102"/>
      <c r="E245" s="104"/>
      <c r="F245" s="94"/>
      <c r="G245" s="94"/>
      <c r="H245" s="84"/>
      <c r="I245" s="84"/>
      <c r="J245" s="84"/>
      <c r="K245" s="83"/>
      <c r="L245" s="83"/>
      <c r="M245" s="85"/>
      <c r="N245" s="94"/>
      <c r="O245" s="94"/>
      <c r="P245" s="94"/>
      <c r="Q245" s="94"/>
      <c r="R245" s="94"/>
      <c r="S245" s="94"/>
      <c r="T245" s="104"/>
    </row>
    <row r="246" spans="1:20" x14ac:dyDescent="0.25">
      <c r="A246" s="101"/>
      <c r="B246" s="102"/>
      <c r="C246" s="101"/>
      <c r="D246" s="102"/>
      <c r="E246" s="104"/>
      <c r="F246" s="94"/>
      <c r="G246" s="94"/>
      <c r="H246" s="84"/>
      <c r="I246" s="84"/>
      <c r="J246" s="84"/>
      <c r="K246" s="83"/>
      <c r="L246" s="83"/>
      <c r="M246" s="85"/>
      <c r="N246" s="94"/>
      <c r="O246" s="94"/>
      <c r="P246" s="94"/>
      <c r="Q246" s="94"/>
      <c r="R246" s="94"/>
      <c r="S246" s="94"/>
      <c r="T246" s="104"/>
    </row>
    <row r="247" spans="1:20" x14ac:dyDescent="0.25">
      <c r="A247" s="101"/>
      <c r="B247" s="102"/>
      <c r="C247" s="101"/>
      <c r="D247" s="102"/>
      <c r="E247" s="104"/>
      <c r="F247" s="94"/>
      <c r="G247" s="94"/>
      <c r="H247" s="84"/>
      <c r="I247" s="84"/>
      <c r="J247" s="84"/>
      <c r="K247" s="83"/>
      <c r="L247" s="83"/>
      <c r="M247" s="85"/>
      <c r="N247" s="94"/>
      <c r="O247" s="94"/>
      <c r="P247" s="94"/>
      <c r="Q247" s="94"/>
      <c r="R247" s="94"/>
      <c r="S247" s="94"/>
      <c r="T247" s="104"/>
    </row>
    <row r="248" spans="1:20" x14ac:dyDescent="0.25">
      <c r="A248" s="101"/>
      <c r="B248" s="102"/>
      <c r="C248" s="101"/>
      <c r="D248" s="102"/>
      <c r="E248" s="104"/>
      <c r="F248" s="94"/>
      <c r="G248" s="94"/>
      <c r="H248" s="84"/>
      <c r="I248" s="84"/>
      <c r="J248" s="84"/>
      <c r="K248" s="83"/>
      <c r="L248" s="83"/>
      <c r="M248" s="85"/>
      <c r="N248" s="94"/>
      <c r="O248" s="94"/>
      <c r="P248" s="94"/>
      <c r="Q248" s="94"/>
      <c r="R248" s="94"/>
      <c r="S248" s="94"/>
      <c r="T248" s="104"/>
    </row>
    <row r="249" spans="1:20" x14ac:dyDescent="0.25">
      <c r="A249" s="101"/>
      <c r="B249" s="102"/>
      <c r="C249" s="101"/>
      <c r="D249" s="102"/>
      <c r="E249" s="104"/>
      <c r="F249" s="94"/>
      <c r="G249" s="94"/>
      <c r="H249" s="84"/>
      <c r="I249" s="84"/>
      <c r="J249" s="84"/>
      <c r="K249" s="83"/>
      <c r="L249" s="83"/>
      <c r="M249" s="85"/>
      <c r="N249" s="94"/>
      <c r="O249" s="94"/>
      <c r="P249" s="94"/>
      <c r="Q249" s="94"/>
      <c r="R249" s="94"/>
      <c r="S249" s="94"/>
      <c r="T249" s="104"/>
    </row>
    <row r="250" spans="1:20" x14ac:dyDescent="0.25">
      <c r="A250" s="101"/>
      <c r="B250" s="102"/>
      <c r="C250" s="101"/>
      <c r="D250" s="102"/>
      <c r="E250" s="104"/>
      <c r="F250" s="94"/>
      <c r="G250" s="94"/>
      <c r="H250" s="84"/>
      <c r="I250" s="84"/>
      <c r="J250" s="84"/>
      <c r="K250" s="83"/>
      <c r="L250" s="83"/>
      <c r="M250" s="85"/>
      <c r="N250" s="94"/>
      <c r="O250" s="94"/>
      <c r="P250" s="94"/>
      <c r="Q250" s="94"/>
      <c r="R250" s="94"/>
      <c r="S250" s="94"/>
      <c r="T250" s="104"/>
    </row>
    <row r="251" spans="1:20" x14ac:dyDescent="0.25">
      <c r="A251" s="101"/>
      <c r="B251" s="102"/>
      <c r="C251" s="101"/>
      <c r="D251" s="102"/>
      <c r="E251" s="104"/>
      <c r="F251" s="94"/>
      <c r="G251" s="94"/>
      <c r="H251" s="84"/>
      <c r="I251" s="84"/>
      <c r="J251" s="84"/>
      <c r="K251" s="83"/>
      <c r="L251" s="83"/>
      <c r="M251" s="85"/>
      <c r="N251" s="94"/>
      <c r="O251" s="94"/>
      <c r="P251" s="94"/>
      <c r="Q251" s="94"/>
      <c r="R251" s="94"/>
      <c r="S251" s="94"/>
      <c r="T251" s="104"/>
    </row>
    <row r="252" spans="1:20" x14ac:dyDescent="0.25">
      <c r="A252" s="101"/>
      <c r="B252" s="102"/>
      <c r="C252" s="101"/>
      <c r="D252" s="102"/>
      <c r="E252" s="104"/>
      <c r="F252" s="94"/>
      <c r="G252" s="94"/>
      <c r="H252" s="84"/>
      <c r="I252" s="84"/>
      <c r="J252" s="84"/>
      <c r="K252" s="83"/>
      <c r="L252" s="83"/>
      <c r="M252" s="85"/>
      <c r="N252" s="94"/>
      <c r="O252" s="94"/>
      <c r="P252" s="94"/>
      <c r="Q252" s="94"/>
      <c r="R252" s="94"/>
      <c r="S252" s="94"/>
      <c r="T252" s="104"/>
    </row>
    <row r="253" spans="1:20" x14ac:dyDescent="0.25">
      <c r="A253" s="101"/>
      <c r="B253" s="102"/>
      <c r="C253" s="101"/>
      <c r="D253" s="102"/>
      <c r="E253" s="104"/>
      <c r="F253" s="94"/>
      <c r="G253" s="94"/>
      <c r="H253" s="84"/>
      <c r="I253" s="84"/>
      <c r="J253" s="84"/>
      <c r="K253" s="83"/>
      <c r="L253" s="83"/>
      <c r="M253" s="85"/>
      <c r="N253" s="94"/>
      <c r="O253" s="94"/>
      <c r="P253" s="94"/>
      <c r="Q253" s="94"/>
      <c r="R253" s="94"/>
      <c r="S253" s="94"/>
      <c r="T253" s="104"/>
    </row>
    <row r="254" spans="1:20" x14ac:dyDescent="0.25">
      <c r="A254" s="101"/>
      <c r="B254" s="102"/>
      <c r="C254" s="101"/>
      <c r="D254" s="102"/>
      <c r="E254" s="104"/>
      <c r="F254" s="94"/>
      <c r="G254" s="94"/>
      <c r="H254" s="84"/>
      <c r="I254" s="84"/>
      <c r="J254" s="84"/>
      <c r="K254" s="83"/>
      <c r="L254" s="83"/>
      <c r="M254" s="85"/>
      <c r="N254" s="94"/>
      <c r="O254" s="94"/>
      <c r="P254" s="94"/>
      <c r="Q254" s="94"/>
      <c r="R254" s="94"/>
      <c r="S254" s="94"/>
      <c r="T254" s="104"/>
    </row>
    <row r="255" spans="1:20" x14ac:dyDescent="0.25">
      <c r="A255" s="101"/>
      <c r="B255" s="102"/>
      <c r="C255" s="101"/>
      <c r="D255" s="102"/>
      <c r="E255" s="104"/>
      <c r="F255" s="94"/>
      <c r="G255" s="94"/>
      <c r="H255" s="84"/>
      <c r="I255" s="84"/>
      <c r="J255" s="84"/>
      <c r="K255" s="83"/>
      <c r="L255" s="83"/>
      <c r="M255" s="85"/>
      <c r="N255" s="94"/>
      <c r="O255" s="94"/>
      <c r="P255" s="94"/>
      <c r="Q255" s="94"/>
      <c r="R255" s="94"/>
      <c r="S255" s="94"/>
      <c r="T255" s="104"/>
    </row>
    <row r="256" spans="1:20" x14ac:dyDescent="0.25">
      <c r="A256" s="101"/>
      <c r="B256" s="102"/>
      <c r="C256" s="101"/>
      <c r="D256" s="102"/>
      <c r="E256" s="104"/>
      <c r="F256" s="94"/>
      <c r="G256" s="94"/>
      <c r="H256" s="84"/>
      <c r="I256" s="84"/>
      <c r="J256" s="84"/>
      <c r="K256" s="83"/>
      <c r="L256" s="83"/>
      <c r="M256" s="85"/>
      <c r="N256" s="94"/>
      <c r="O256" s="94"/>
      <c r="P256" s="94"/>
      <c r="Q256" s="94"/>
      <c r="R256" s="94"/>
      <c r="S256" s="94"/>
      <c r="T256" s="104"/>
    </row>
    <row r="257" spans="1:20" x14ac:dyDescent="0.25">
      <c r="A257" s="101"/>
      <c r="B257" s="102"/>
      <c r="C257" s="101"/>
      <c r="D257" s="102"/>
      <c r="E257" s="104"/>
      <c r="F257" s="94"/>
      <c r="G257" s="94"/>
      <c r="H257" s="84"/>
      <c r="I257" s="84"/>
      <c r="J257" s="84"/>
      <c r="K257" s="83"/>
      <c r="L257" s="83"/>
      <c r="M257" s="85"/>
      <c r="N257" s="94"/>
      <c r="O257" s="94"/>
      <c r="P257" s="94"/>
      <c r="Q257" s="94"/>
      <c r="R257" s="94"/>
      <c r="S257" s="94"/>
      <c r="T257" s="104"/>
    </row>
    <row r="258" spans="1:20" x14ac:dyDescent="0.25">
      <c r="A258" s="101"/>
      <c r="B258" s="102"/>
      <c r="C258" s="101"/>
      <c r="D258" s="102"/>
      <c r="E258" s="104"/>
      <c r="F258" s="94"/>
      <c r="G258" s="94"/>
      <c r="H258" s="84"/>
      <c r="I258" s="84"/>
      <c r="J258" s="84"/>
      <c r="K258" s="83"/>
      <c r="L258" s="83"/>
      <c r="M258" s="85"/>
      <c r="N258" s="94"/>
      <c r="O258" s="94"/>
      <c r="P258" s="94"/>
      <c r="Q258" s="94"/>
      <c r="R258" s="94"/>
      <c r="S258" s="94"/>
      <c r="T258" s="104"/>
    </row>
    <row r="259" spans="1:20" x14ac:dyDescent="0.25">
      <c r="A259" s="101"/>
      <c r="B259" s="102"/>
      <c r="C259" s="101"/>
      <c r="D259" s="102"/>
      <c r="E259" s="104"/>
      <c r="F259" s="94"/>
      <c r="G259" s="94"/>
      <c r="H259" s="84"/>
      <c r="I259" s="84"/>
      <c r="J259" s="84"/>
      <c r="K259" s="83"/>
      <c r="L259" s="83"/>
      <c r="M259" s="85"/>
      <c r="N259" s="94"/>
      <c r="O259" s="94"/>
      <c r="P259" s="94"/>
      <c r="Q259" s="94"/>
      <c r="R259" s="94"/>
      <c r="S259" s="94"/>
      <c r="T259" s="104"/>
    </row>
    <row r="260" spans="1:20" x14ac:dyDescent="0.25">
      <c r="A260" s="101"/>
      <c r="B260" s="102"/>
      <c r="C260" s="101"/>
      <c r="D260" s="102"/>
      <c r="E260" s="104"/>
      <c r="F260" s="94"/>
      <c r="G260" s="94"/>
      <c r="H260" s="84"/>
      <c r="I260" s="84"/>
      <c r="J260" s="84"/>
      <c r="K260" s="83"/>
      <c r="L260" s="83"/>
      <c r="M260" s="85"/>
      <c r="N260" s="94"/>
      <c r="O260" s="94"/>
      <c r="P260" s="94"/>
      <c r="Q260" s="94"/>
      <c r="R260" s="94"/>
      <c r="S260" s="94"/>
      <c r="T260" s="104"/>
    </row>
    <row r="261" spans="1:20" x14ac:dyDescent="0.25">
      <c r="A261" s="101"/>
      <c r="B261" s="102"/>
      <c r="C261" s="101"/>
      <c r="D261" s="102"/>
      <c r="E261" s="104"/>
      <c r="F261" s="94"/>
      <c r="G261" s="94"/>
      <c r="H261" s="84"/>
      <c r="I261" s="84"/>
      <c r="J261" s="84"/>
      <c r="K261" s="83"/>
      <c r="L261" s="83"/>
      <c r="M261" s="85"/>
      <c r="N261" s="94"/>
      <c r="O261" s="94"/>
      <c r="P261" s="94"/>
      <c r="Q261" s="94"/>
      <c r="R261" s="94"/>
      <c r="S261" s="94"/>
      <c r="T261" s="104"/>
    </row>
    <row r="262" spans="1:20" x14ac:dyDescent="0.25">
      <c r="A262" s="101"/>
      <c r="B262" s="102"/>
      <c r="C262" s="101"/>
      <c r="D262" s="102"/>
      <c r="E262" s="104"/>
      <c r="F262" s="94"/>
      <c r="G262" s="94"/>
      <c r="H262" s="84"/>
      <c r="I262" s="84"/>
      <c r="J262" s="84"/>
      <c r="K262" s="83"/>
      <c r="L262" s="83"/>
      <c r="M262" s="85"/>
      <c r="N262" s="94"/>
      <c r="O262" s="94"/>
      <c r="P262" s="94"/>
      <c r="Q262" s="94"/>
      <c r="R262" s="94"/>
      <c r="S262" s="94"/>
      <c r="T262" s="104"/>
    </row>
    <row r="263" spans="1:20" x14ac:dyDescent="0.25">
      <c r="A263" s="101"/>
      <c r="B263" s="102"/>
      <c r="C263" s="101"/>
      <c r="D263" s="102"/>
      <c r="E263" s="104"/>
      <c r="F263" s="94"/>
      <c r="G263" s="94"/>
      <c r="H263" s="84"/>
      <c r="I263" s="84"/>
      <c r="J263" s="84"/>
      <c r="K263" s="83"/>
      <c r="L263" s="83"/>
      <c r="M263" s="85"/>
      <c r="N263" s="94"/>
      <c r="O263" s="94"/>
      <c r="P263" s="94"/>
      <c r="Q263" s="94"/>
      <c r="R263" s="94"/>
      <c r="S263" s="94"/>
      <c r="T263" s="104"/>
    </row>
    <row r="264" spans="1:20" x14ac:dyDescent="0.25">
      <c r="A264" s="101"/>
      <c r="B264" s="102"/>
      <c r="C264" s="101"/>
      <c r="D264" s="102"/>
      <c r="E264" s="104"/>
      <c r="F264" s="94"/>
      <c r="G264" s="94"/>
      <c r="H264" s="84"/>
      <c r="I264" s="84"/>
      <c r="J264" s="84"/>
      <c r="K264" s="83"/>
      <c r="L264" s="83"/>
      <c r="M264" s="85"/>
      <c r="N264" s="94"/>
      <c r="O264" s="94"/>
      <c r="P264" s="94"/>
      <c r="Q264" s="94"/>
      <c r="R264" s="94"/>
      <c r="S264" s="94"/>
      <c r="T264" s="104"/>
    </row>
    <row r="265" spans="1:20" x14ac:dyDescent="0.25">
      <c r="A265" s="101"/>
      <c r="B265" s="102"/>
      <c r="C265" s="101"/>
      <c r="D265" s="102"/>
      <c r="E265" s="104"/>
      <c r="F265" s="94"/>
      <c r="G265" s="94"/>
      <c r="H265" s="84"/>
      <c r="I265" s="84"/>
      <c r="J265" s="84"/>
      <c r="K265" s="83"/>
      <c r="L265" s="83"/>
      <c r="M265" s="85"/>
      <c r="N265" s="94"/>
      <c r="O265" s="94"/>
      <c r="P265" s="94"/>
      <c r="Q265" s="94"/>
      <c r="R265" s="94"/>
      <c r="S265" s="94"/>
      <c r="T265" s="104"/>
    </row>
    <row r="266" spans="1:20" x14ac:dyDescent="0.25">
      <c r="A266" s="101"/>
      <c r="B266" s="102"/>
      <c r="C266" s="101"/>
      <c r="D266" s="102"/>
      <c r="E266" s="104"/>
      <c r="F266" s="94"/>
      <c r="G266" s="94"/>
      <c r="H266" s="84"/>
      <c r="I266" s="84"/>
      <c r="J266" s="84"/>
      <c r="K266" s="83"/>
      <c r="L266" s="83"/>
      <c r="M266" s="85"/>
      <c r="N266" s="94"/>
      <c r="O266" s="94"/>
      <c r="P266" s="94"/>
      <c r="Q266" s="94"/>
      <c r="R266" s="94"/>
      <c r="S266" s="94"/>
      <c r="T266" s="104"/>
    </row>
    <row r="267" spans="1:20" x14ac:dyDescent="0.25">
      <c r="A267" s="101"/>
      <c r="B267" s="102"/>
      <c r="C267" s="101"/>
      <c r="D267" s="102"/>
      <c r="E267" s="104"/>
      <c r="F267" s="94"/>
      <c r="G267" s="94"/>
      <c r="H267" s="84"/>
      <c r="I267" s="84"/>
      <c r="J267" s="84"/>
      <c r="K267" s="83"/>
      <c r="L267" s="83"/>
      <c r="M267" s="85"/>
      <c r="N267" s="94"/>
      <c r="O267" s="94"/>
      <c r="P267" s="94"/>
      <c r="Q267" s="94"/>
      <c r="R267" s="94"/>
      <c r="S267" s="94"/>
      <c r="T267" s="104"/>
    </row>
    <row r="268" spans="1:20" x14ac:dyDescent="0.25">
      <c r="A268" s="101"/>
      <c r="B268" s="102"/>
      <c r="C268" s="101"/>
      <c r="D268" s="102"/>
      <c r="E268" s="104"/>
      <c r="F268" s="94"/>
      <c r="G268" s="94"/>
      <c r="H268" s="84"/>
      <c r="I268" s="84"/>
      <c r="J268" s="84"/>
      <c r="K268" s="83"/>
      <c r="L268" s="83"/>
      <c r="M268" s="85"/>
      <c r="N268" s="94"/>
      <c r="O268" s="94"/>
      <c r="P268" s="94"/>
      <c r="Q268" s="94"/>
      <c r="R268" s="94"/>
      <c r="S268" s="94"/>
      <c r="T268" s="104"/>
    </row>
    <row r="269" spans="1:20" x14ac:dyDescent="0.25">
      <c r="A269" s="101"/>
      <c r="B269" s="102"/>
      <c r="C269" s="101"/>
      <c r="D269" s="102"/>
      <c r="E269" s="104"/>
      <c r="F269" s="94"/>
      <c r="G269" s="94"/>
      <c r="H269" s="83"/>
      <c r="I269" s="83"/>
      <c r="J269" s="83"/>
      <c r="K269" s="83"/>
      <c r="L269" s="83"/>
      <c r="M269" s="85"/>
      <c r="N269" s="94"/>
      <c r="O269" s="94"/>
      <c r="P269" s="94"/>
      <c r="Q269" s="94"/>
      <c r="R269" s="94"/>
      <c r="S269" s="94"/>
      <c r="T269" s="104"/>
    </row>
    <row r="270" spans="1:20" x14ac:dyDescent="0.25">
      <c r="A270" s="101"/>
      <c r="B270" s="102"/>
      <c r="C270" s="101"/>
      <c r="D270" s="102"/>
      <c r="E270" s="104"/>
      <c r="F270" s="94"/>
      <c r="G270" s="94"/>
      <c r="H270" s="83"/>
      <c r="I270" s="83"/>
      <c r="J270" s="83"/>
      <c r="K270" s="83"/>
      <c r="L270" s="83"/>
      <c r="M270" s="85"/>
      <c r="N270" s="94"/>
      <c r="O270" s="94"/>
      <c r="P270" s="94"/>
      <c r="Q270" s="94"/>
      <c r="R270" s="94"/>
      <c r="S270" s="94"/>
      <c r="T270" s="104"/>
    </row>
    <row r="271" spans="1:20" x14ac:dyDescent="0.25">
      <c r="A271" s="101"/>
      <c r="B271" s="102"/>
      <c r="C271" s="101"/>
      <c r="D271" s="102"/>
      <c r="E271" s="104"/>
      <c r="F271" s="94"/>
      <c r="G271" s="94"/>
      <c r="H271" s="83"/>
      <c r="I271" s="83"/>
      <c r="J271" s="83"/>
      <c r="K271" s="83"/>
      <c r="L271" s="83"/>
      <c r="M271" s="85"/>
      <c r="N271" s="94"/>
      <c r="O271" s="94"/>
      <c r="P271" s="94"/>
      <c r="Q271" s="94"/>
      <c r="R271" s="94"/>
      <c r="S271" s="94"/>
      <c r="T271" s="104"/>
    </row>
    <row r="272" spans="1:20" x14ac:dyDescent="0.25">
      <c r="A272" s="101"/>
      <c r="B272" s="102"/>
      <c r="C272" s="101"/>
      <c r="D272" s="102"/>
      <c r="E272" s="104"/>
      <c r="F272" s="94"/>
      <c r="G272" s="94"/>
      <c r="H272" s="83"/>
      <c r="I272" s="83"/>
      <c r="J272" s="83"/>
      <c r="K272" s="83"/>
      <c r="L272" s="83"/>
      <c r="M272" s="85"/>
      <c r="N272" s="94"/>
      <c r="O272" s="94"/>
      <c r="P272" s="94"/>
      <c r="Q272" s="94"/>
      <c r="R272" s="94"/>
      <c r="S272" s="94"/>
      <c r="T272" s="104"/>
    </row>
    <row r="273" spans="1:20" x14ac:dyDescent="0.25">
      <c r="A273" s="101"/>
      <c r="B273" s="102"/>
      <c r="C273" s="101"/>
      <c r="D273" s="102"/>
      <c r="E273" s="104"/>
      <c r="F273" s="94"/>
      <c r="G273" s="94"/>
      <c r="H273" s="83"/>
      <c r="I273" s="83"/>
      <c r="J273" s="83"/>
      <c r="K273" s="83"/>
      <c r="L273" s="83"/>
      <c r="M273" s="85"/>
      <c r="N273" s="94"/>
      <c r="O273" s="94"/>
      <c r="P273" s="94"/>
      <c r="Q273" s="94"/>
      <c r="R273" s="94"/>
      <c r="S273" s="94"/>
      <c r="T273" s="104"/>
    </row>
    <row r="274" spans="1:20" x14ac:dyDescent="0.25">
      <c r="A274" s="101"/>
      <c r="B274" s="102"/>
      <c r="C274" s="101"/>
      <c r="D274" s="102"/>
      <c r="E274" s="104"/>
      <c r="F274" s="94"/>
      <c r="G274" s="94"/>
      <c r="H274" s="83"/>
      <c r="I274" s="83"/>
      <c r="J274" s="83"/>
      <c r="K274" s="83"/>
      <c r="L274" s="83"/>
      <c r="M274" s="85"/>
      <c r="N274" s="94"/>
      <c r="O274" s="94"/>
      <c r="P274" s="94"/>
      <c r="Q274" s="94"/>
      <c r="R274" s="94"/>
      <c r="S274" s="94"/>
      <c r="T274" s="104"/>
    </row>
  </sheetData>
  <autoFilter ref="A13:V274"/>
  <mergeCells count="562">
    <mergeCell ref="A2:B2"/>
    <mergeCell ref="C2:D2"/>
    <mergeCell ref="E2:F2"/>
    <mergeCell ref="G2:H2"/>
    <mergeCell ref="K2:L2"/>
    <mergeCell ref="X2:Y2"/>
    <mergeCell ref="A3:B3"/>
    <mergeCell ref="C3:D3"/>
    <mergeCell ref="E3:F3"/>
    <mergeCell ref="G3:H3"/>
    <mergeCell ref="I3:J3"/>
    <mergeCell ref="K3:L3"/>
    <mergeCell ref="X3:Y3"/>
    <mergeCell ref="C4:D4"/>
    <mergeCell ref="E4:F4"/>
    <mergeCell ref="G4:H4"/>
    <mergeCell ref="I4:J4"/>
    <mergeCell ref="K4:L4"/>
    <mergeCell ref="X4:Y4"/>
    <mergeCell ref="I5:J5"/>
    <mergeCell ref="K5:L5"/>
    <mergeCell ref="X5:Y5"/>
    <mergeCell ref="I6:J6"/>
    <mergeCell ref="K6:L6"/>
    <mergeCell ref="X6:Y6"/>
    <mergeCell ref="I7:J7"/>
    <mergeCell ref="K7:L7"/>
    <mergeCell ref="X7:Y7"/>
    <mergeCell ref="I8:J8"/>
    <mergeCell ref="K8:L8"/>
    <mergeCell ref="X8:Y8"/>
    <mergeCell ref="K9:L9"/>
    <mergeCell ref="M9:N9"/>
    <mergeCell ref="Z9:AA9"/>
    <mergeCell ref="K10:L10"/>
    <mergeCell ref="M10:N10"/>
    <mergeCell ref="Z10:AA10"/>
    <mergeCell ref="A13:B13"/>
    <mergeCell ref="C13:D13"/>
    <mergeCell ref="Z13:AA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75:B75"/>
    <mergeCell ref="C75:D75"/>
    <mergeCell ref="A76:B76"/>
    <mergeCell ref="C76:D76"/>
    <mergeCell ref="A77:B77"/>
    <mergeCell ref="C77:D77"/>
    <mergeCell ref="A78:B78"/>
    <mergeCell ref="C78:D78"/>
    <mergeCell ref="A79:B79"/>
    <mergeCell ref="C79:D79"/>
    <mergeCell ref="A80:B80"/>
    <mergeCell ref="C80:D80"/>
    <mergeCell ref="A81:B81"/>
    <mergeCell ref="C81:D81"/>
    <mergeCell ref="A82:B82"/>
    <mergeCell ref="C82:D82"/>
    <mergeCell ref="A83:B83"/>
    <mergeCell ref="C83:D83"/>
    <mergeCell ref="A84:B84"/>
    <mergeCell ref="C84:D84"/>
    <mergeCell ref="A85:B85"/>
    <mergeCell ref="C85:D85"/>
    <mergeCell ref="A86:B86"/>
    <mergeCell ref="C86:D86"/>
    <mergeCell ref="A87:B87"/>
    <mergeCell ref="C87:D87"/>
    <mergeCell ref="A88:B88"/>
    <mergeCell ref="C88:D88"/>
    <mergeCell ref="A89:B89"/>
    <mergeCell ref="C89:D89"/>
    <mergeCell ref="A90:B90"/>
    <mergeCell ref="C90:D90"/>
    <mergeCell ref="A91:B91"/>
    <mergeCell ref="C91:D91"/>
    <mergeCell ref="A92:B92"/>
    <mergeCell ref="C92:D92"/>
    <mergeCell ref="A93:B93"/>
    <mergeCell ref="C93:D93"/>
    <mergeCell ref="A94:B94"/>
    <mergeCell ref="C94:D94"/>
    <mergeCell ref="A95:B95"/>
    <mergeCell ref="C95:D95"/>
    <mergeCell ref="A96:B96"/>
    <mergeCell ref="C96:D96"/>
    <mergeCell ref="A97:B97"/>
    <mergeCell ref="C97:D97"/>
    <mergeCell ref="A98:B98"/>
    <mergeCell ref="C98:D98"/>
    <mergeCell ref="A99:B99"/>
    <mergeCell ref="C99:D99"/>
    <mergeCell ref="A100:B100"/>
    <mergeCell ref="C100:D100"/>
    <mergeCell ref="A101:B101"/>
    <mergeCell ref="C101:D101"/>
    <mergeCell ref="A102:B102"/>
    <mergeCell ref="C102:D102"/>
    <mergeCell ref="A103:B103"/>
    <mergeCell ref="C103:D103"/>
    <mergeCell ref="A104:B104"/>
    <mergeCell ref="C104:D104"/>
    <mergeCell ref="A105:B105"/>
    <mergeCell ref="C105:D105"/>
    <mergeCell ref="A106:B106"/>
    <mergeCell ref="C106:D106"/>
    <mergeCell ref="A107:B107"/>
    <mergeCell ref="C107:D107"/>
    <mergeCell ref="A108:B108"/>
    <mergeCell ref="C108:D108"/>
    <mergeCell ref="A109:B109"/>
    <mergeCell ref="C109:D109"/>
    <mergeCell ref="A110:B110"/>
    <mergeCell ref="C110:D110"/>
    <mergeCell ref="A111:B111"/>
    <mergeCell ref="C111:D111"/>
    <mergeCell ref="A112:B112"/>
    <mergeCell ref="C112:D112"/>
    <mergeCell ref="A113:B113"/>
    <mergeCell ref="C113:D113"/>
    <mergeCell ref="A114:B114"/>
    <mergeCell ref="C114:D114"/>
    <mergeCell ref="A115:B115"/>
    <mergeCell ref="C115:D115"/>
    <mergeCell ref="A116:B116"/>
    <mergeCell ref="C116:D116"/>
    <mergeCell ref="A117:B117"/>
    <mergeCell ref="C117:D117"/>
    <mergeCell ref="A118:B118"/>
    <mergeCell ref="C118:D118"/>
    <mergeCell ref="A119:B119"/>
    <mergeCell ref="C119:D119"/>
    <mergeCell ref="A120:B120"/>
    <mergeCell ref="C120:D120"/>
    <mergeCell ref="A121:B121"/>
    <mergeCell ref="C121:D121"/>
    <mergeCell ref="A122:B122"/>
    <mergeCell ref="C122:D122"/>
    <mergeCell ref="A123:B123"/>
    <mergeCell ref="C123:D123"/>
    <mergeCell ref="A124:B124"/>
    <mergeCell ref="C124:D124"/>
    <mergeCell ref="A125:B125"/>
    <mergeCell ref="C125:D125"/>
    <mergeCell ref="A126:B126"/>
    <mergeCell ref="C126:D126"/>
    <mergeCell ref="A127:B127"/>
    <mergeCell ref="C127:D127"/>
    <mergeCell ref="A128:B128"/>
    <mergeCell ref="C128:D128"/>
    <mergeCell ref="A129:B129"/>
    <mergeCell ref="C129:D129"/>
    <mergeCell ref="A130:B130"/>
    <mergeCell ref="C130:D130"/>
    <mergeCell ref="A131:B131"/>
    <mergeCell ref="C131:D131"/>
    <mergeCell ref="A132:B132"/>
    <mergeCell ref="C132:D132"/>
    <mergeCell ref="A133:B133"/>
    <mergeCell ref="C133:D133"/>
    <mergeCell ref="A134:B134"/>
    <mergeCell ref="C134:D134"/>
    <mergeCell ref="A135:B135"/>
    <mergeCell ref="C135:D135"/>
    <mergeCell ref="A136:B136"/>
    <mergeCell ref="C136:D136"/>
    <mergeCell ref="A137:B137"/>
    <mergeCell ref="C137:D137"/>
    <mergeCell ref="A138:B138"/>
    <mergeCell ref="C138:D138"/>
    <mergeCell ref="A139:B139"/>
    <mergeCell ref="C139:D139"/>
    <mergeCell ref="A140:B140"/>
    <mergeCell ref="C140:D140"/>
    <mergeCell ref="A141:B141"/>
    <mergeCell ref="C141:D141"/>
    <mergeCell ref="A142:B142"/>
    <mergeCell ref="C142:D142"/>
    <mergeCell ref="A143:B143"/>
    <mergeCell ref="C143:D143"/>
    <mergeCell ref="A144:B144"/>
    <mergeCell ref="C144:D144"/>
    <mergeCell ref="A145:B145"/>
    <mergeCell ref="C145:D145"/>
    <mergeCell ref="A146:B146"/>
    <mergeCell ref="C146:D146"/>
    <mergeCell ref="A147:B147"/>
    <mergeCell ref="C147:D147"/>
    <mergeCell ref="A148:B148"/>
    <mergeCell ref="C148:D148"/>
    <mergeCell ref="A149:B149"/>
    <mergeCell ref="C149:D149"/>
    <mergeCell ref="A150:B150"/>
    <mergeCell ref="C150:D150"/>
    <mergeCell ref="A151:B151"/>
    <mergeCell ref="C151:D151"/>
    <mergeCell ref="A152:B152"/>
    <mergeCell ref="C152:D152"/>
    <mergeCell ref="A153:B153"/>
    <mergeCell ref="C153:D153"/>
    <mergeCell ref="A154:B154"/>
    <mergeCell ref="C154:D154"/>
    <mergeCell ref="A155:B155"/>
    <mergeCell ref="C155:D155"/>
    <mergeCell ref="A156:B156"/>
    <mergeCell ref="C156:D156"/>
    <mergeCell ref="A157:B157"/>
    <mergeCell ref="C157:D157"/>
    <mergeCell ref="A158:B158"/>
    <mergeCell ref="C158:D158"/>
    <mergeCell ref="A159:B159"/>
    <mergeCell ref="C159:D159"/>
    <mergeCell ref="A160:B160"/>
    <mergeCell ref="C160:D160"/>
    <mergeCell ref="A161:B161"/>
    <mergeCell ref="C161:D161"/>
    <mergeCell ref="A162:B162"/>
    <mergeCell ref="C162:D162"/>
    <mergeCell ref="A163:B163"/>
    <mergeCell ref="C163:D163"/>
    <mergeCell ref="A164:B164"/>
    <mergeCell ref="C164:D164"/>
    <mergeCell ref="A165:B165"/>
    <mergeCell ref="C165:D165"/>
    <mergeCell ref="A166:B166"/>
    <mergeCell ref="C166:D166"/>
    <mergeCell ref="A167:B167"/>
    <mergeCell ref="C167:D167"/>
    <mergeCell ref="A168:B168"/>
    <mergeCell ref="C168:D168"/>
    <mergeCell ref="A169:B169"/>
    <mergeCell ref="C169:D169"/>
    <mergeCell ref="A170:B170"/>
    <mergeCell ref="C170:D170"/>
    <mergeCell ref="A171:B171"/>
    <mergeCell ref="C171:D171"/>
    <mergeCell ref="A172:B172"/>
    <mergeCell ref="C172:D172"/>
    <mergeCell ref="A173:B173"/>
    <mergeCell ref="C173:D173"/>
    <mergeCell ref="A174:B174"/>
    <mergeCell ref="C174:D174"/>
    <mergeCell ref="A175:B175"/>
    <mergeCell ref="C175:D175"/>
    <mergeCell ref="A176:B176"/>
    <mergeCell ref="C176:D176"/>
    <mergeCell ref="A177:B177"/>
    <mergeCell ref="C177:D177"/>
    <mergeCell ref="A178:B178"/>
    <mergeCell ref="C178:D178"/>
    <mergeCell ref="A179:B179"/>
    <mergeCell ref="C179:D179"/>
    <mergeCell ref="A180:B180"/>
    <mergeCell ref="C180:D180"/>
    <mergeCell ref="A181:B181"/>
    <mergeCell ref="C181:D181"/>
    <mergeCell ref="A182:B182"/>
    <mergeCell ref="C182:D182"/>
    <mergeCell ref="A183:B183"/>
    <mergeCell ref="C183:D183"/>
    <mergeCell ref="A184:B184"/>
    <mergeCell ref="C184:D184"/>
    <mergeCell ref="A185:B185"/>
    <mergeCell ref="C185:D185"/>
    <mergeCell ref="A186:B186"/>
    <mergeCell ref="C186:D186"/>
    <mergeCell ref="A187:B187"/>
    <mergeCell ref="C187:D187"/>
    <mergeCell ref="A188:B188"/>
    <mergeCell ref="C188:D188"/>
    <mergeCell ref="A189:B189"/>
    <mergeCell ref="C189:D189"/>
    <mergeCell ref="A190:B190"/>
    <mergeCell ref="C190:D190"/>
    <mergeCell ref="A191:B191"/>
    <mergeCell ref="C191:D191"/>
    <mergeCell ref="A192:B192"/>
    <mergeCell ref="C192:D192"/>
    <mergeCell ref="A193:B193"/>
    <mergeCell ref="C193:D193"/>
    <mergeCell ref="A194:B194"/>
    <mergeCell ref="C194:D194"/>
    <mergeCell ref="A195:B195"/>
    <mergeCell ref="C195:D195"/>
    <mergeCell ref="A196:B196"/>
    <mergeCell ref="C196:D196"/>
    <mergeCell ref="A197:B197"/>
    <mergeCell ref="C197:D197"/>
    <mergeCell ref="A198:B198"/>
    <mergeCell ref="C198:D198"/>
    <mergeCell ref="A199:B199"/>
    <mergeCell ref="C199:D199"/>
    <mergeCell ref="A200:B200"/>
    <mergeCell ref="C200:D200"/>
    <mergeCell ref="A201:B201"/>
    <mergeCell ref="C201:D201"/>
    <mergeCell ref="A202:B202"/>
    <mergeCell ref="C202:D202"/>
    <mergeCell ref="A203:B203"/>
    <mergeCell ref="C203:D203"/>
    <mergeCell ref="A204:B204"/>
    <mergeCell ref="C204:D204"/>
    <mergeCell ref="A205:B205"/>
    <mergeCell ref="C205:D205"/>
    <mergeCell ref="A206:B206"/>
    <mergeCell ref="C206:D206"/>
    <mergeCell ref="A207:B207"/>
    <mergeCell ref="C207:D207"/>
    <mergeCell ref="A208:B208"/>
    <mergeCell ref="C208:D208"/>
    <mergeCell ref="A209:B209"/>
    <mergeCell ref="C209:D209"/>
    <mergeCell ref="A210:B210"/>
    <mergeCell ref="C210:D210"/>
    <mergeCell ref="A211:B211"/>
    <mergeCell ref="C211:D211"/>
    <mergeCell ref="A212:B212"/>
    <mergeCell ref="C212:D212"/>
    <mergeCell ref="A213:B213"/>
    <mergeCell ref="C213:D213"/>
    <mergeCell ref="A214:B214"/>
    <mergeCell ref="C214:D214"/>
    <mergeCell ref="A215:B215"/>
    <mergeCell ref="C215:D215"/>
    <mergeCell ref="A216:B216"/>
    <mergeCell ref="C216:D216"/>
    <mergeCell ref="A217:B217"/>
    <mergeCell ref="C217:D217"/>
    <mergeCell ref="A218:B218"/>
    <mergeCell ref="C218:D218"/>
    <mergeCell ref="A219:B219"/>
    <mergeCell ref="C219:D219"/>
    <mergeCell ref="A220:B220"/>
    <mergeCell ref="C220:D220"/>
    <mergeCell ref="A221:B221"/>
    <mergeCell ref="C221:D221"/>
    <mergeCell ref="A222:B222"/>
    <mergeCell ref="C222:D222"/>
    <mergeCell ref="A223:B223"/>
    <mergeCell ref="C223:D223"/>
    <mergeCell ref="A224:B224"/>
    <mergeCell ref="C224:D224"/>
    <mergeCell ref="A225:B225"/>
    <mergeCell ref="C225:D225"/>
    <mergeCell ref="A226:B226"/>
    <mergeCell ref="C226:D226"/>
    <mergeCell ref="A227:B227"/>
    <mergeCell ref="C227:D227"/>
    <mergeCell ref="A228:B228"/>
    <mergeCell ref="C228:D228"/>
    <mergeCell ref="A229:B229"/>
    <mergeCell ref="C229:D229"/>
    <mergeCell ref="A230:B230"/>
    <mergeCell ref="C230:D230"/>
    <mergeCell ref="A231:B231"/>
    <mergeCell ref="C231:D231"/>
    <mergeCell ref="A232:B232"/>
    <mergeCell ref="C232:D232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C237:D237"/>
    <mergeCell ref="A238:B238"/>
    <mergeCell ref="C238:D238"/>
    <mergeCell ref="A239:B239"/>
    <mergeCell ref="C239:D239"/>
    <mergeCell ref="A240:B240"/>
    <mergeCell ref="C240:D240"/>
    <mergeCell ref="A241:B241"/>
    <mergeCell ref="C241:D241"/>
    <mergeCell ref="A242:B242"/>
    <mergeCell ref="C242:D242"/>
    <mergeCell ref="A243:B243"/>
    <mergeCell ref="C243:D243"/>
    <mergeCell ref="A244:B244"/>
    <mergeCell ref="C244:D244"/>
    <mergeCell ref="A245:B245"/>
    <mergeCell ref="C245:D245"/>
    <mergeCell ref="A246:B246"/>
    <mergeCell ref="C246:D246"/>
    <mergeCell ref="A247:B247"/>
    <mergeCell ref="C247:D247"/>
    <mergeCell ref="A248:B248"/>
    <mergeCell ref="C248:D248"/>
    <mergeCell ref="A249:B249"/>
    <mergeCell ref="C249:D249"/>
    <mergeCell ref="A250:B250"/>
    <mergeCell ref="C250:D250"/>
    <mergeCell ref="A251:B251"/>
    <mergeCell ref="C251:D251"/>
    <mergeCell ref="A252:B252"/>
    <mergeCell ref="C252:D252"/>
    <mergeCell ref="A253:B253"/>
    <mergeCell ref="C253:D253"/>
    <mergeCell ref="A254:B254"/>
    <mergeCell ref="C254:D254"/>
    <mergeCell ref="A255:B255"/>
    <mergeCell ref="C255:D255"/>
    <mergeCell ref="A256:B256"/>
    <mergeCell ref="C256:D256"/>
    <mergeCell ref="A257:B257"/>
    <mergeCell ref="C257:D257"/>
    <mergeCell ref="A258:B258"/>
    <mergeCell ref="C258:D258"/>
    <mergeCell ref="A259:B259"/>
    <mergeCell ref="C259:D259"/>
    <mergeCell ref="A260:B260"/>
    <mergeCell ref="C260:D260"/>
    <mergeCell ref="A261:B261"/>
    <mergeCell ref="C261:D261"/>
    <mergeCell ref="A262:B262"/>
    <mergeCell ref="C262:D262"/>
    <mergeCell ref="A263:B263"/>
    <mergeCell ref="C263:D263"/>
    <mergeCell ref="A264:B264"/>
    <mergeCell ref="C264:D264"/>
    <mergeCell ref="A265:B265"/>
    <mergeCell ref="C265:D265"/>
    <mergeCell ref="A266:B266"/>
    <mergeCell ref="C266:D266"/>
    <mergeCell ref="A267:B267"/>
    <mergeCell ref="C267:D267"/>
    <mergeCell ref="A268:B268"/>
    <mergeCell ref="C268:D268"/>
    <mergeCell ref="A269:B269"/>
    <mergeCell ref="C269:D269"/>
    <mergeCell ref="A270:B270"/>
    <mergeCell ref="C270:D270"/>
    <mergeCell ref="A271:B271"/>
    <mergeCell ref="C271:D271"/>
    <mergeCell ref="A272:B272"/>
    <mergeCell ref="C272:D272"/>
    <mergeCell ref="A273:B273"/>
    <mergeCell ref="C273:D273"/>
    <mergeCell ref="A274:B274"/>
    <mergeCell ref="C274:D274"/>
  </mergeCells>
  <pageMargins left="0.25" right="0.25" top="0.75" bottom="0.75" header="0.3" footer="0.3"/>
  <pageSetup paperSize="9" orientation="landscape" horizontalDpi="300" verticalDpi="300" scale="52" fitToWidth="1" fitToHeight="0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U115"/>
  <sheetViews>
    <sheetView workbookViewId="0" zoomScale="80" zoomScaleNormal="80">
      <pane ySplit="1" topLeftCell="A2" activePane="bottomLeft" state="frozen"/>
      <selection pane="bottomLeft" activeCell="L18" sqref="L18"/>
    </sheetView>
  </sheetViews>
  <sheetFormatPr defaultRowHeight="18.75" outlineLevelRow="0" outlineLevelCol="0" x14ac:dyDescent="0.4" defaultColWidth="8.75" customHeight="1"/>
  <cols>
    <col min="1" max="1" width="9.75" style="1" customWidth="1"/>
    <col min="2" max="2" width="6.5" style="1" customWidth="1"/>
    <col min="3" max="3" width="8.125" style="1" customWidth="1"/>
    <col min="4" max="5" width="10.25" style="1" customWidth="1"/>
    <col min="6" max="6" width="11.875" style="1" customWidth="1"/>
    <col min="7" max="7" width="12.75" style="1" customWidth="1"/>
    <col min="8" max="8" width="13" style="1" customWidth="1"/>
    <col min="9" max="9" width="12.5" style="1" customWidth="1"/>
    <col min="10" max="10" width="12.375" style="1" customWidth="1"/>
    <col min="11" max="12" width="11.875" style="1" customWidth="1"/>
    <col min="13" max="14" width="12.5" style="1" customWidth="1"/>
    <col min="15" max="15" width="12.5" style="108" customWidth="1"/>
    <col min="16" max="16384" width="8.75" style="1" customWidth="1"/>
  </cols>
  <sheetData>
    <row r="1" ht="19.5" customHeight="1" spans="1:73" x14ac:dyDescent="0.25">
      <c r="A1" s="109" t="s">
        <v>36</v>
      </c>
      <c r="B1" s="110"/>
      <c r="C1" s="109" t="s">
        <v>37</v>
      </c>
      <c r="D1" s="110"/>
      <c r="E1" s="111" t="s">
        <v>38</v>
      </c>
      <c r="F1" s="111" t="s">
        <v>57</v>
      </c>
      <c r="G1" s="111" t="s">
        <v>5</v>
      </c>
      <c r="H1" s="112" t="s">
        <v>9</v>
      </c>
      <c r="I1" s="113" t="s">
        <v>58</v>
      </c>
      <c r="J1" s="113" t="s">
        <v>27</v>
      </c>
      <c r="K1" s="113" t="s">
        <v>59</v>
      </c>
      <c r="L1" s="113" t="s">
        <v>60</v>
      </c>
      <c r="M1" s="114" t="s">
        <v>47</v>
      </c>
      <c r="N1" s="115" t="s">
        <v>61</v>
      </c>
      <c r="O1" s="100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16"/>
      <c r="AS1" s="116"/>
      <c r="AT1" s="116"/>
      <c r="AU1" s="116"/>
      <c r="AV1" s="116"/>
      <c r="AW1" s="116"/>
      <c r="AX1" s="116"/>
      <c r="AY1" s="116"/>
      <c r="AZ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16"/>
      <c r="BS1" s="116"/>
      <c r="BT1" s="116"/>
      <c r="BU1" s="116"/>
    </row>
    <row r="2" spans="1:73" x14ac:dyDescent="0.25">
      <c r="A2" s="81"/>
      <c r="B2" s="82"/>
      <c r="C2" s="81"/>
      <c r="D2" s="82"/>
      <c r="E2" s="81"/>
      <c r="F2" s="117"/>
      <c r="G2" s="117"/>
      <c r="H2" s="118"/>
      <c r="I2" s="119"/>
      <c r="J2" s="119"/>
      <c r="K2" s="119"/>
      <c r="L2" s="119"/>
      <c r="M2" s="120"/>
      <c r="N2" s="121"/>
      <c r="O2" s="100"/>
      <c r="P2" s="86"/>
      <c r="Q2" s="8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6"/>
      <c r="AP2" s="116"/>
      <c r="AQ2" s="116"/>
      <c r="AR2" s="116"/>
      <c r="AS2" s="116"/>
      <c r="AT2" s="116"/>
      <c r="AU2" s="116"/>
      <c r="AV2" s="116"/>
      <c r="AW2" s="116"/>
      <c r="AX2" s="116"/>
      <c r="AY2" s="116"/>
      <c r="AZ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16"/>
      <c r="BS2" s="116"/>
      <c r="BT2" s="116"/>
      <c r="BU2" s="116"/>
    </row>
    <row r="3" ht="17.65" customHeight="1" spans="1:25" s="108" customFormat="1" x14ac:dyDescent="0.25">
      <c r="A3" s="81"/>
      <c r="B3" s="82"/>
      <c r="C3" s="81"/>
      <c r="D3" s="82"/>
      <c r="E3" s="81"/>
      <c r="F3" s="83"/>
      <c r="G3" s="83"/>
      <c r="H3" s="122"/>
      <c r="I3" s="123"/>
      <c r="J3" s="124"/>
      <c r="K3" s="124"/>
      <c r="L3" s="125"/>
      <c r="M3" s="125"/>
      <c r="N3" s="126"/>
      <c r="O3" s="100"/>
      <c r="P3" s="86"/>
      <c r="Q3" s="86"/>
      <c r="R3" s="116"/>
      <c r="S3" s="116"/>
      <c r="T3" s="116"/>
      <c r="U3" s="116"/>
      <c r="V3" s="116"/>
      <c r="W3" s="116"/>
      <c r="X3" s="116"/>
      <c r="Y3" s="116"/>
    </row>
    <row r="4" ht="17.65" customHeight="1" spans="1:25" s="108" customFormat="1" x14ac:dyDescent="0.25">
      <c r="A4" s="81"/>
      <c r="B4" s="82"/>
      <c r="C4" s="81"/>
      <c r="D4" s="82"/>
      <c r="E4" s="81"/>
      <c r="F4" s="127"/>
      <c r="G4" s="83"/>
      <c r="H4" s="122"/>
      <c r="I4" s="123"/>
      <c r="J4" s="124"/>
      <c r="K4" s="124"/>
      <c r="L4" s="125"/>
      <c r="M4" s="125"/>
      <c r="N4" s="126"/>
      <c r="O4" s="100"/>
      <c r="P4" s="86"/>
      <c r="Q4" s="86"/>
      <c r="R4" s="116"/>
      <c r="S4" s="116"/>
      <c r="T4" s="116"/>
      <c r="U4" s="116"/>
      <c r="V4" s="116"/>
      <c r="W4" s="116"/>
      <c r="X4" s="116"/>
      <c r="Y4" s="116"/>
    </row>
    <row r="5" ht="17.65" customHeight="1" spans="1:25" s="108" customFormat="1" x14ac:dyDescent="0.25">
      <c r="A5" s="81"/>
      <c r="B5" s="82"/>
      <c r="C5" s="81"/>
      <c r="D5" s="82"/>
      <c r="E5" s="81"/>
      <c r="F5" s="127"/>
      <c r="G5" s="83"/>
      <c r="H5" s="122"/>
      <c r="I5" s="123"/>
      <c r="J5" s="124"/>
      <c r="K5" s="124"/>
      <c r="L5" s="125"/>
      <c r="M5" s="125"/>
      <c r="N5" s="128"/>
      <c r="O5" s="100"/>
      <c r="P5" s="86"/>
      <c r="Q5" s="86"/>
      <c r="R5" s="116"/>
      <c r="S5" s="116"/>
      <c r="T5" s="116"/>
      <c r="U5" s="116"/>
      <c r="V5" s="116"/>
      <c r="W5" s="116"/>
      <c r="X5" s="116"/>
      <c r="Y5" s="116"/>
    </row>
    <row r="6" ht="17.65" customHeight="1" spans="1:25" s="108" customFormat="1" x14ac:dyDescent="0.25">
      <c r="A6" s="81"/>
      <c r="B6" s="82"/>
      <c r="C6" s="81"/>
      <c r="D6" s="82"/>
      <c r="E6" s="81"/>
      <c r="F6" s="82"/>
      <c r="G6" s="83"/>
      <c r="H6" s="129"/>
      <c r="I6" s="130"/>
      <c r="J6" s="130"/>
      <c r="K6" s="124"/>
      <c r="L6" s="123"/>
      <c r="M6" s="130"/>
      <c r="N6" s="128"/>
      <c r="O6" s="100"/>
      <c r="P6" s="86"/>
      <c r="Q6" s="86"/>
      <c r="R6" s="116"/>
      <c r="S6" s="116"/>
      <c r="T6" s="116"/>
      <c r="U6" s="116"/>
      <c r="V6" s="116"/>
      <c r="W6" s="116"/>
      <c r="X6" s="116"/>
      <c r="Y6" s="116"/>
    </row>
    <row r="7" ht="17.65" customHeight="1" spans="1:25" s="108" customFormat="1" x14ac:dyDescent="0.25">
      <c r="A7" s="81"/>
      <c r="B7" s="82"/>
      <c r="C7" s="81"/>
      <c r="D7" s="82"/>
      <c r="E7" s="81"/>
      <c r="F7" s="82"/>
      <c r="G7" s="83"/>
      <c r="H7" s="129"/>
      <c r="I7" s="130"/>
      <c r="J7" s="130"/>
      <c r="K7" s="124"/>
      <c r="L7" s="123"/>
      <c r="M7" s="130"/>
      <c r="N7" s="128"/>
      <c r="O7" s="100"/>
      <c r="P7" s="86"/>
      <c r="Q7" s="86"/>
      <c r="R7" s="116"/>
      <c r="S7" s="116"/>
      <c r="T7" s="116"/>
      <c r="U7" s="116"/>
      <c r="V7" s="116"/>
      <c r="W7" s="116"/>
      <c r="X7" s="116"/>
      <c r="Y7" s="116"/>
    </row>
    <row r="8" ht="17.65" customHeight="1" spans="1:25" s="108" customFormat="1" x14ac:dyDescent="0.25">
      <c r="A8" s="81"/>
      <c r="B8" s="82"/>
      <c r="C8" s="81"/>
      <c r="D8" s="82"/>
      <c r="E8" s="81"/>
      <c r="F8" s="83"/>
      <c r="G8" s="83"/>
      <c r="H8" s="129"/>
      <c r="I8" s="130"/>
      <c r="J8" s="130"/>
      <c r="K8" s="124"/>
      <c r="L8" s="123"/>
      <c r="M8" s="130"/>
      <c r="N8" s="128"/>
      <c r="O8" s="100"/>
      <c r="P8" s="86"/>
      <c r="Q8" s="86"/>
      <c r="R8" s="116"/>
      <c r="S8" s="116"/>
      <c r="T8" s="116"/>
      <c r="U8" s="116"/>
      <c r="V8" s="116"/>
      <c r="W8" s="116"/>
      <c r="X8" s="116"/>
      <c r="Y8" s="116"/>
    </row>
    <row r="9" ht="17.65" customHeight="1" spans="1:25" s="108" customFormat="1" x14ac:dyDescent="0.25">
      <c r="A9" s="81"/>
      <c r="B9" s="82"/>
      <c r="C9" s="81"/>
      <c r="D9" s="82"/>
      <c r="E9" s="81"/>
      <c r="F9" s="83"/>
      <c r="G9" s="83"/>
      <c r="H9" s="129"/>
      <c r="I9" s="130"/>
      <c r="J9" s="124"/>
      <c r="K9" s="124"/>
      <c r="L9" s="125"/>
      <c r="M9" s="124"/>
      <c r="N9" s="126"/>
      <c r="O9" s="100"/>
      <c r="P9" s="86"/>
      <c r="Q9" s="86"/>
      <c r="R9" s="116"/>
      <c r="S9" s="116"/>
      <c r="T9" s="116"/>
      <c r="U9" s="116"/>
      <c r="V9" s="116"/>
      <c r="W9" s="116"/>
      <c r="X9" s="116"/>
      <c r="Y9" s="116"/>
    </row>
    <row r="10" ht="17.65" customHeight="1" spans="1:25" s="108" customFormat="1" x14ac:dyDescent="0.25">
      <c r="A10" s="81"/>
      <c r="B10" s="82"/>
      <c r="C10" s="81"/>
      <c r="D10" s="82"/>
      <c r="E10" s="81"/>
      <c r="F10" s="83"/>
      <c r="G10" s="83"/>
      <c r="H10" s="129"/>
      <c r="I10" s="130"/>
      <c r="J10" s="124"/>
      <c r="K10" s="124"/>
      <c r="L10" s="125"/>
      <c r="M10" s="124"/>
      <c r="N10" s="126"/>
      <c r="O10" s="100"/>
      <c r="P10" s="86"/>
      <c r="Q10" s="86"/>
      <c r="R10" s="116"/>
      <c r="S10" s="116"/>
      <c r="T10" s="116"/>
      <c r="U10" s="116"/>
      <c r="V10" s="116"/>
      <c r="W10" s="116"/>
      <c r="X10" s="116"/>
      <c r="Y10" s="116"/>
    </row>
    <row r="11" spans="1:17" x14ac:dyDescent="0.25">
      <c r="A11" s="81"/>
      <c r="B11" s="82"/>
      <c r="C11" s="81"/>
      <c r="D11" s="82"/>
      <c r="E11" s="81"/>
      <c r="F11" s="83"/>
      <c r="G11" s="83"/>
      <c r="H11" s="122"/>
      <c r="I11" s="123"/>
      <c r="J11" s="124"/>
      <c r="K11" s="124"/>
      <c r="L11" s="125"/>
      <c r="M11" s="124"/>
      <c r="N11" s="126"/>
      <c r="O11" s="100"/>
      <c r="P11" s="86"/>
      <c r="Q11" s="86"/>
    </row>
    <row r="12" spans="1:17" x14ac:dyDescent="0.25">
      <c r="A12" s="81"/>
      <c r="B12" s="82"/>
      <c r="C12" s="81"/>
      <c r="D12" s="82"/>
      <c r="E12" s="81"/>
      <c r="F12" s="83"/>
      <c r="G12" s="83"/>
      <c r="H12" s="122"/>
      <c r="I12" s="123"/>
      <c r="J12" s="124"/>
      <c r="K12" s="124"/>
      <c r="L12" s="125"/>
      <c r="M12" s="124"/>
      <c r="N12" s="126"/>
      <c r="O12" s="100"/>
      <c r="P12" s="86"/>
      <c r="Q12" s="86"/>
    </row>
    <row r="13" ht="18.75" customHeight="1" spans="1:17" x14ac:dyDescent="0.25">
      <c r="A13" s="81"/>
      <c r="B13" s="82"/>
      <c r="C13" s="81"/>
      <c r="D13" s="82"/>
      <c r="E13" s="81"/>
      <c r="F13" s="127"/>
      <c r="G13" s="93"/>
      <c r="H13" s="122"/>
      <c r="I13" s="123"/>
      <c r="J13" s="124"/>
      <c r="K13" s="124"/>
      <c r="L13" s="125"/>
      <c r="M13" s="124"/>
      <c r="N13" s="126"/>
      <c r="O13" s="100"/>
      <c r="P13" s="86"/>
      <c r="Q13" s="86"/>
    </row>
    <row r="14" ht="18.75" customHeight="1" spans="1:17" x14ac:dyDescent="0.25">
      <c r="A14" s="81"/>
      <c r="B14" s="82"/>
      <c r="C14" s="81"/>
      <c r="D14" s="82"/>
      <c r="E14" s="81"/>
      <c r="F14" s="127"/>
      <c r="G14" s="93"/>
      <c r="H14" s="122"/>
      <c r="I14" s="123"/>
      <c r="J14" s="124"/>
      <c r="K14" s="124"/>
      <c r="L14" s="125"/>
      <c r="M14" s="124"/>
      <c r="N14" s="126"/>
      <c r="O14" s="100"/>
      <c r="P14" s="86"/>
      <c r="Q14" s="86"/>
    </row>
    <row r="15" ht="18.75" customHeight="1" spans="1:17" x14ac:dyDescent="0.25">
      <c r="A15" s="81"/>
      <c r="B15" s="82"/>
      <c r="C15" s="81"/>
      <c r="D15" s="82"/>
      <c r="E15" s="81"/>
      <c r="F15" s="127"/>
      <c r="G15" s="83"/>
      <c r="H15" s="122"/>
      <c r="I15" s="123"/>
      <c r="J15" s="124"/>
      <c r="K15" s="124"/>
      <c r="L15" s="125"/>
      <c r="M15" s="124"/>
      <c r="N15" s="126"/>
      <c r="O15" s="100"/>
      <c r="P15" s="86"/>
      <c r="Q15" s="86"/>
    </row>
    <row r="16" spans="1:17" s="87" customFormat="1" x14ac:dyDescent="0.25">
      <c r="A16" s="81"/>
      <c r="B16" s="82"/>
      <c r="C16" s="81"/>
      <c r="D16" s="82"/>
      <c r="E16" s="81"/>
      <c r="F16" s="127"/>
      <c r="G16" s="83"/>
      <c r="H16" s="122"/>
      <c r="I16" s="123"/>
      <c r="J16" s="124"/>
      <c r="K16" s="124"/>
      <c r="L16" s="125"/>
      <c r="M16" s="124"/>
      <c r="N16" s="126"/>
      <c r="O16" s="100"/>
      <c r="P16" s="86"/>
      <c r="Q16" s="86"/>
    </row>
    <row r="17" spans="1:17" x14ac:dyDescent="0.25">
      <c r="A17" s="81"/>
      <c r="B17" s="82"/>
      <c r="C17" s="81"/>
      <c r="D17" s="82"/>
      <c r="E17" s="97"/>
      <c r="F17" s="127"/>
      <c r="G17" s="83"/>
      <c r="H17" s="122"/>
      <c r="I17" s="123"/>
      <c r="J17" s="124"/>
      <c r="K17" s="124"/>
      <c r="L17" s="125"/>
      <c r="M17" s="124"/>
      <c r="N17" s="126"/>
      <c r="O17" s="100"/>
      <c r="P17" s="86"/>
      <c r="Q17" s="86"/>
    </row>
    <row r="18" spans="1:17" x14ac:dyDescent="0.25">
      <c r="A18" s="81"/>
      <c r="B18" s="82"/>
      <c r="C18" s="81"/>
      <c r="D18" s="82"/>
      <c r="E18" s="97"/>
      <c r="F18" s="82"/>
      <c r="G18" s="83"/>
      <c r="H18" s="129"/>
      <c r="I18" s="130"/>
      <c r="J18" s="130"/>
      <c r="K18" s="130"/>
      <c r="L18" s="123"/>
      <c r="M18" s="130"/>
      <c r="N18" s="126"/>
      <c r="O18" s="100"/>
      <c r="P18" s="86"/>
      <c r="Q18" s="86"/>
    </row>
    <row r="19" spans="1:17" x14ac:dyDescent="0.25">
      <c r="A19" s="81"/>
      <c r="B19" s="82"/>
      <c r="C19" s="81"/>
      <c r="D19" s="82"/>
      <c r="E19" s="97"/>
      <c r="F19" s="127"/>
      <c r="G19" s="83"/>
      <c r="H19" s="122"/>
      <c r="I19" s="123"/>
      <c r="J19" s="124"/>
      <c r="K19" s="124"/>
      <c r="L19" s="125"/>
      <c r="M19" s="124"/>
      <c r="N19" s="126"/>
      <c r="O19" s="100"/>
      <c r="P19" s="86"/>
      <c r="Q19" s="86"/>
    </row>
    <row r="20" spans="1:17" x14ac:dyDescent="0.25">
      <c r="A20" s="81"/>
      <c r="B20" s="82"/>
      <c r="C20" s="81"/>
      <c r="D20" s="82"/>
      <c r="E20" s="97"/>
      <c r="F20" s="127"/>
      <c r="G20" s="83"/>
      <c r="H20" s="122"/>
      <c r="I20" s="123"/>
      <c r="J20" s="124"/>
      <c r="K20" s="124"/>
      <c r="L20" s="125"/>
      <c r="M20" s="124"/>
      <c r="N20" s="126"/>
      <c r="O20" s="100"/>
      <c r="P20" s="86"/>
      <c r="Q20" s="86"/>
    </row>
    <row r="21" spans="1:17" x14ac:dyDescent="0.25">
      <c r="A21" s="81"/>
      <c r="B21" s="82"/>
      <c r="C21" s="81"/>
      <c r="D21" s="82"/>
      <c r="E21" s="97"/>
      <c r="F21" s="83"/>
      <c r="G21" s="83"/>
      <c r="H21" s="122"/>
      <c r="I21" s="123"/>
      <c r="J21" s="124"/>
      <c r="K21" s="124"/>
      <c r="L21" s="125"/>
      <c r="M21" s="124"/>
      <c r="N21" s="126"/>
      <c r="O21" s="100"/>
      <c r="P21" s="86"/>
      <c r="Q21" s="86"/>
    </row>
    <row r="22" spans="1:17" x14ac:dyDescent="0.25">
      <c r="A22" s="81"/>
      <c r="B22" s="82"/>
      <c r="C22" s="81"/>
      <c r="D22" s="82"/>
      <c r="E22" s="97"/>
      <c r="F22" s="83"/>
      <c r="G22" s="83"/>
      <c r="H22" s="122"/>
      <c r="I22" s="123"/>
      <c r="J22" s="124"/>
      <c r="K22" s="124"/>
      <c r="L22" s="125"/>
      <c r="M22" s="124"/>
      <c r="N22" s="126"/>
      <c r="O22" s="100"/>
      <c r="P22" s="86"/>
      <c r="Q22" s="86"/>
    </row>
    <row r="23" spans="1:17" x14ac:dyDescent="0.25">
      <c r="A23" s="81"/>
      <c r="B23" s="82"/>
      <c r="C23" s="81"/>
      <c r="D23" s="82"/>
      <c r="E23" s="97"/>
      <c r="F23" s="83"/>
      <c r="G23" s="83"/>
      <c r="H23" s="122"/>
      <c r="I23" s="123"/>
      <c r="J23" s="124"/>
      <c r="K23" s="124"/>
      <c r="L23" s="125"/>
      <c r="M23" s="124"/>
      <c r="N23" s="126"/>
      <c r="O23" s="100"/>
      <c r="P23" s="86"/>
      <c r="Q23" s="86"/>
    </row>
    <row r="24" spans="1:17" x14ac:dyDescent="0.25">
      <c r="A24" s="81"/>
      <c r="B24" s="82"/>
      <c r="C24" s="81"/>
      <c r="D24" s="82"/>
      <c r="E24" s="97"/>
      <c r="F24" s="127"/>
      <c r="G24" s="83"/>
      <c r="H24" s="122"/>
      <c r="I24" s="123"/>
      <c r="J24" s="124"/>
      <c r="K24" s="124"/>
      <c r="L24" s="125"/>
      <c r="M24" s="124"/>
      <c r="N24" s="126"/>
      <c r="O24" s="100"/>
      <c r="P24" s="86"/>
      <c r="Q24" s="86"/>
    </row>
    <row r="25" spans="1:17" x14ac:dyDescent="0.25">
      <c r="A25" s="81"/>
      <c r="B25" s="82"/>
      <c r="C25" s="81"/>
      <c r="D25" s="82"/>
      <c r="E25" s="97"/>
      <c r="F25" s="127"/>
      <c r="G25" s="83"/>
      <c r="H25" s="122"/>
      <c r="I25" s="123"/>
      <c r="J25" s="124"/>
      <c r="K25" s="124"/>
      <c r="L25" s="125"/>
      <c r="M25" s="124"/>
      <c r="N25" s="126"/>
      <c r="O25" s="100"/>
      <c r="P25" s="86"/>
      <c r="Q25" s="86"/>
    </row>
    <row r="26" spans="1:17" s="87" customFormat="1" x14ac:dyDescent="0.25">
      <c r="A26" s="81"/>
      <c r="B26" s="82"/>
      <c r="C26" s="81"/>
      <c r="D26" s="82"/>
      <c r="E26" s="97"/>
      <c r="F26" s="127"/>
      <c r="G26" s="93"/>
      <c r="H26" s="122"/>
      <c r="I26" s="123"/>
      <c r="J26" s="124"/>
      <c r="K26" s="124"/>
      <c r="L26" s="125"/>
      <c r="M26" s="124"/>
      <c r="N26" s="126"/>
      <c r="O26" s="100"/>
      <c r="P26" s="86"/>
      <c r="Q26" s="86"/>
    </row>
    <row r="27" spans="1:17" s="87" customFormat="1" x14ac:dyDescent="0.25">
      <c r="A27" s="81"/>
      <c r="B27" s="82"/>
      <c r="C27" s="81"/>
      <c r="D27" s="82"/>
      <c r="E27" s="97"/>
      <c r="F27" s="127"/>
      <c r="G27" s="93"/>
      <c r="H27" s="122"/>
      <c r="I27" s="123"/>
      <c r="J27" s="124"/>
      <c r="K27" s="124"/>
      <c r="L27" s="125"/>
      <c r="M27" s="124"/>
      <c r="N27" s="126"/>
      <c r="O27" s="100"/>
      <c r="P27" s="86"/>
      <c r="Q27" s="86"/>
    </row>
    <row r="28" spans="1:17" s="87" customFormat="1" x14ac:dyDescent="0.25">
      <c r="A28" s="81"/>
      <c r="B28" s="82"/>
      <c r="C28" s="81"/>
      <c r="D28" s="82"/>
      <c r="E28" s="97"/>
      <c r="F28" s="127"/>
      <c r="G28" s="93"/>
      <c r="H28" s="122"/>
      <c r="I28" s="123"/>
      <c r="J28" s="124"/>
      <c r="K28" s="124"/>
      <c r="L28" s="125"/>
      <c r="M28" s="124"/>
      <c r="N28" s="126"/>
      <c r="O28" s="100"/>
      <c r="P28" s="86"/>
      <c r="Q28" s="86"/>
    </row>
    <row r="29" spans="1:17" x14ac:dyDescent="0.25">
      <c r="A29" s="81"/>
      <c r="B29" s="82"/>
      <c r="C29" s="101"/>
      <c r="D29" s="102"/>
      <c r="E29" s="81"/>
      <c r="F29" s="127"/>
      <c r="G29" s="83"/>
      <c r="H29" s="122"/>
      <c r="I29" s="123"/>
      <c r="J29" s="124"/>
      <c r="K29" s="124"/>
      <c r="L29" s="125"/>
      <c r="M29" s="124"/>
      <c r="N29" s="126"/>
      <c r="O29" s="100"/>
      <c r="P29" s="86"/>
      <c r="Q29" s="86"/>
    </row>
    <row r="30" spans="1:17" x14ac:dyDescent="0.25">
      <c r="A30" s="81"/>
      <c r="B30" s="82"/>
      <c r="C30" s="103"/>
      <c r="D30" s="102"/>
      <c r="E30" s="97"/>
      <c r="F30" s="127"/>
      <c r="G30" s="83"/>
      <c r="H30" s="122"/>
      <c r="I30" s="123"/>
      <c r="J30" s="124"/>
      <c r="K30" s="124"/>
      <c r="L30" s="125"/>
      <c r="M30" s="124"/>
      <c r="N30" s="126"/>
      <c r="O30" s="100"/>
      <c r="P30" s="86"/>
      <c r="Q30" s="86"/>
    </row>
    <row r="31" spans="1:17" x14ac:dyDescent="0.25">
      <c r="A31" s="81"/>
      <c r="B31" s="82"/>
      <c r="C31" s="101"/>
      <c r="D31" s="102"/>
      <c r="E31" s="97"/>
      <c r="F31" s="127"/>
      <c r="G31" s="93"/>
      <c r="H31" s="122"/>
      <c r="I31" s="123"/>
      <c r="J31" s="124"/>
      <c r="K31" s="124"/>
      <c r="L31" s="125"/>
      <c r="M31" s="124"/>
      <c r="N31" s="126"/>
      <c r="O31" s="100"/>
      <c r="P31" s="86"/>
      <c r="Q31" s="86"/>
    </row>
    <row r="32" spans="1:17" s="87" customFormat="1" x14ac:dyDescent="0.25">
      <c r="A32" s="81"/>
      <c r="B32" s="82"/>
      <c r="C32" s="103"/>
      <c r="D32" s="102"/>
      <c r="E32" s="97"/>
      <c r="F32" s="127"/>
      <c r="G32" s="93"/>
      <c r="H32" s="122"/>
      <c r="I32" s="123"/>
      <c r="J32" s="124"/>
      <c r="K32" s="124"/>
      <c r="L32" s="125"/>
      <c r="M32" s="124"/>
      <c r="N32" s="126"/>
      <c r="O32" s="100"/>
      <c r="P32" s="86"/>
      <c r="Q32" s="86"/>
    </row>
    <row r="33" spans="1:17" x14ac:dyDescent="0.25">
      <c r="A33" s="81"/>
      <c r="B33" s="82"/>
      <c r="C33" s="103"/>
      <c r="D33" s="102"/>
      <c r="E33" s="97"/>
      <c r="F33" s="127"/>
      <c r="G33" s="93"/>
      <c r="H33" s="122"/>
      <c r="I33" s="123"/>
      <c r="J33" s="124"/>
      <c r="K33" s="124"/>
      <c r="L33" s="125"/>
      <c r="M33" s="124"/>
      <c r="N33" s="126"/>
      <c r="O33" s="100"/>
      <c r="P33" s="86"/>
      <c r="Q33" s="86"/>
    </row>
    <row r="34" spans="1:17" x14ac:dyDescent="0.25">
      <c r="A34" s="81"/>
      <c r="B34" s="82"/>
      <c r="C34" s="103"/>
      <c r="D34" s="102"/>
      <c r="E34" s="81"/>
      <c r="F34" s="127"/>
      <c r="G34" s="93"/>
      <c r="H34" s="122"/>
      <c r="I34" s="123"/>
      <c r="J34" s="124"/>
      <c r="K34" s="124"/>
      <c r="L34" s="125"/>
      <c r="M34" s="124"/>
      <c r="N34" s="126"/>
      <c r="O34" s="100"/>
      <c r="P34" s="86"/>
      <c r="Q34" s="86"/>
    </row>
    <row r="35" spans="1:17" x14ac:dyDescent="0.25">
      <c r="A35" s="81"/>
      <c r="B35" s="82"/>
      <c r="C35" s="103"/>
      <c r="D35" s="102"/>
      <c r="E35" s="81"/>
      <c r="F35" s="83"/>
      <c r="G35" s="93"/>
      <c r="H35" s="122"/>
      <c r="I35" s="123"/>
      <c r="J35" s="124"/>
      <c r="K35" s="124"/>
      <c r="L35" s="125"/>
      <c r="M35" s="124"/>
      <c r="N35" s="126"/>
      <c r="O35" s="100"/>
      <c r="P35" s="86"/>
      <c r="Q35" s="86"/>
    </row>
    <row r="36" spans="1:15" s="86" customFormat="1" x14ac:dyDescent="0.25">
      <c r="A36" s="81"/>
      <c r="B36" s="82"/>
      <c r="C36" s="81"/>
      <c r="D36" s="82"/>
      <c r="E36" s="81"/>
      <c r="F36" s="127"/>
      <c r="G36" s="93"/>
      <c r="H36" s="122"/>
      <c r="I36" s="123"/>
      <c r="J36" s="124"/>
      <c r="K36" s="124"/>
      <c r="L36" s="125"/>
      <c r="M36" s="124"/>
      <c r="N36" s="126"/>
      <c r="O36" s="100"/>
    </row>
    <row r="37" spans="1:17" s="87" customFormat="1" x14ac:dyDescent="0.25">
      <c r="A37" s="81"/>
      <c r="B37" s="82"/>
      <c r="C37" s="101"/>
      <c r="D37" s="102"/>
      <c r="E37" s="81"/>
      <c r="F37" s="127"/>
      <c r="G37" s="93"/>
      <c r="H37" s="122"/>
      <c r="I37" s="123"/>
      <c r="J37" s="124"/>
      <c r="K37" s="124"/>
      <c r="L37" s="125"/>
      <c r="M37" s="124"/>
      <c r="N37" s="126"/>
      <c r="O37" s="100"/>
      <c r="P37" s="86"/>
      <c r="Q37" s="86"/>
    </row>
    <row r="38" spans="1:17" x14ac:dyDescent="0.25">
      <c r="A38" s="81"/>
      <c r="B38" s="82"/>
      <c r="C38" s="103"/>
      <c r="D38" s="102"/>
      <c r="E38" s="81"/>
      <c r="F38" s="127"/>
      <c r="G38" s="93"/>
      <c r="H38" s="122"/>
      <c r="I38" s="123"/>
      <c r="J38" s="124"/>
      <c r="K38" s="124"/>
      <c r="L38" s="125"/>
      <c r="M38" s="124"/>
      <c r="N38" s="126"/>
      <c r="O38" s="100"/>
      <c r="P38" s="86"/>
      <c r="Q38" s="86"/>
    </row>
    <row r="39" spans="1:17" x14ac:dyDescent="0.25">
      <c r="A39" s="81"/>
      <c r="B39" s="82"/>
      <c r="C39" s="81"/>
      <c r="D39" s="82"/>
      <c r="E39" s="81"/>
      <c r="F39" s="127"/>
      <c r="G39" s="93"/>
      <c r="H39" s="122"/>
      <c r="I39" s="123"/>
      <c r="J39" s="123"/>
      <c r="K39" s="131"/>
      <c r="L39" s="123"/>
      <c r="M39" s="125"/>
      <c r="N39" s="126"/>
      <c r="O39" s="100"/>
      <c r="P39" s="86"/>
      <c r="Q39" s="86"/>
    </row>
    <row r="40" spans="1:17" x14ac:dyDescent="0.25">
      <c r="A40" s="81"/>
      <c r="B40" s="82"/>
      <c r="C40" s="81"/>
      <c r="D40" s="82"/>
      <c r="E40" s="81"/>
      <c r="F40" s="127"/>
      <c r="G40" s="93"/>
      <c r="H40" s="122"/>
      <c r="I40" s="123"/>
      <c r="J40" s="124"/>
      <c r="K40" s="130"/>
      <c r="L40" s="123"/>
      <c r="M40" s="125"/>
      <c r="N40" s="126"/>
      <c r="O40" s="100"/>
      <c r="P40" s="86"/>
      <c r="Q40" s="86"/>
    </row>
    <row r="41" spans="1:17" x14ac:dyDescent="0.25">
      <c r="A41" s="81"/>
      <c r="B41" s="82"/>
      <c r="C41" s="81"/>
      <c r="D41" s="82"/>
      <c r="E41" s="81"/>
      <c r="F41" s="83"/>
      <c r="G41" s="83"/>
      <c r="H41" s="122"/>
      <c r="I41" s="123"/>
      <c r="J41" s="124"/>
      <c r="K41" s="130"/>
      <c r="L41" s="123"/>
      <c r="M41" s="125"/>
      <c r="N41" s="126"/>
      <c r="O41" s="100"/>
      <c r="P41" s="86"/>
      <c r="Q41" s="86"/>
    </row>
    <row r="42" spans="1:17" x14ac:dyDescent="0.25">
      <c r="A42" s="81"/>
      <c r="B42" s="82"/>
      <c r="C42" s="81"/>
      <c r="D42" s="82"/>
      <c r="E42" s="81"/>
      <c r="F42" s="127"/>
      <c r="G42" s="93"/>
      <c r="H42" s="122"/>
      <c r="I42" s="123"/>
      <c r="J42" s="124"/>
      <c r="K42" s="124"/>
      <c r="L42" s="125"/>
      <c r="M42" s="125"/>
      <c r="N42" s="126"/>
      <c r="O42" s="100"/>
      <c r="P42" s="86"/>
      <c r="Q42" s="86"/>
    </row>
    <row r="43" spans="1:17" x14ac:dyDescent="0.25">
      <c r="A43" s="81"/>
      <c r="B43" s="82"/>
      <c r="C43" s="81"/>
      <c r="D43" s="82"/>
      <c r="E43" s="81"/>
      <c r="F43" s="127"/>
      <c r="G43" s="83"/>
      <c r="H43" s="122"/>
      <c r="I43" s="123"/>
      <c r="J43" s="124"/>
      <c r="K43" s="124"/>
      <c r="L43" s="125"/>
      <c r="M43" s="125"/>
      <c r="N43" s="126"/>
      <c r="O43" s="100"/>
      <c r="P43" s="86"/>
      <c r="Q43" s="86"/>
    </row>
    <row r="44" spans="1:17" x14ac:dyDescent="0.25">
      <c r="A44" s="81"/>
      <c r="B44" s="82"/>
      <c r="C44" s="81"/>
      <c r="D44" s="82"/>
      <c r="E44" s="81"/>
      <c r="F44" s="127"/>
      <c r="G44" s="83"/>
      <c r="H44" s="122"/>
      <c r="I44" s="123"/>
      <c r="J44" s="124"/>
      <c r="K44" s="124"/>
      <c r="L44" s="125"/>
      <c r="M44" s="125"/>
      <c r="N44" s="126"/>
      <c r="O44" s="100"/>
      <c r="P44" s="86"/>
      <c r="Q44" s="86"/>
    </row>
    <row r="45" spans="1:17" x14ac:dyDescent="0.25">
      <c r="A45" s="81"/>
      <c r="B45" s="82"/>
      <c r="C45" s="81"/>
      <c r="D45" s="82"/>
      <c r="E45" s="81"/>
      <c r="F45" s="127"/>
      <c r="G45" s="83"/>
      <c r="H45" s="122"/>
      <c r="I45" s="123"/>
      <c r="J45" s="124"/>
      <c r="K45" s="124"/>
      <c r="L45" s="125"/>
      <c r="M45" s="125"/>
      <c r="N45" s="126"/>
      <c r="O45" s="100"/>
      <c r="P45" s="86"/>
      <c r="Q45" s="86"/>
    </row>
    <row r="46" spans="1:17" x14ac:dyDescent="0.25">
      <c r="A46" s="81"/>
      <c r="B46" s="82"/>
      <c r="C46" s="81"/>
      <c r="D46" s="82"/>
      <c r="E46" s="81"/>
      <c r="F46" s="127"/>
      <c r="G46" s="83"/>
      <c r="H46" s="122"/>
      <c r="I46" s="123"/>
      <c r="J46" s="124"/>
      <c r="K46" s="124"/>
      <c r="L46" s="125"/>
      <c r="M46" s="125"/>
      <c r="N46" s="126"/>
      <c r="O46" s="100"/>
      <c r="P46" s="86"/>
      <c r="Q46" s="86"/>
    </row>
    <row r="47" spans="1:17" x14ac:dyDescent="0.25">
      <c r="A47" s="81"/>
      <c r="B47" s="82"/>
      <c r="C47" s="81"/>
      <c r="D47" s="82"/>
      <c r="E47" s="81"/>
      <c r="F47" s="127"/>
      <c r="G47" s="83"/>
      <c r="H47" s="122"/>
      <c r="I47" s="123"/>
      <c r="J47" s="124"/>
      <c r="K47" s="124"/>
      <c r="L47" s="125"/>
      <c r="M47" s="125"/>
      <c r="N47" s="126"/>
      <c r="O47" s="100"/>
      <c r="P47" s="86"/>
      <c r="Q47" s="86"/>
    </row>
    <row r="48" spans="1:17" x14ac:dyDescent="0.25">
      <c r="A48" s="81"/>
      <c r="B48" s="82"/>
      <c r="C48" s="81"/>
      <c r="D48" s="82"/>
      <c r="E48" s="81"/>
      <c r="F48" s="127"/>
      <c r="G48" s="83"/>
      <c r="H48" s="122"/>
      <c r="I48" s="123"/>
      <c r="J48" s="124"/>
      <c r="K48" s="124"/>
      <c r="L48" s="125"/>
      <c r="M48" s="125"/>
      <c r="N48" s="126"/>
      <c r="O48" s="100"/>
      <c r="P48" s="86"/>
      <c r="Q48" s="86"/>
    </row>
    <row r="49" spans="1:17" x14ac:dyDescent="0.25">
      <c r="A49" s="81"/>
      <c r="B49" s="82"/>
      <c r="C49" s="81"/>
      <c r="D49" s="82"/>
      <c r="E49" s="81"/>
      <c r="F49" s="127"/>
      <c r="G49" s="83"/>
      <c r="H49" s="122"/>
      <c r="I49" s="123"/>
      <c r="J49" s="124"/>
      <c r="K49" s="124"/>
      <c r="L49" s="125"/>
      <c r="M49" s="125"/>
      <c r="N49" s="126"/>
      <c r="O49" s="100"/>
      <c r="P49" s="86"/>
      <c r="Q49" s="86"/>
    </row>
    <row r="50" spans="1:17" x14ac:dyDescent="0.25">
      <c r="A50" s="81"/>
      <c r="B50" s="82"/>
      <c r="C50" s="81"/>
      <c r="D50" s="82"/>
      <c r="E50" s="81"/>
      <c r="F50" s="127"/>
      <c r="G50" s="83"/>
      <c r="H50" s="122"/>
      <c r="I50" s="123"/>
      <c r="J50" s="124"/>
      <c r="K50" s="124"/>
      <c r="L50" s="125"/>
      <c r="M50" s="125"/>
      <c r="N50" s="126"/>
      <c r="O50" s="100"/>
      <c r="P50" s="86"/>
      <c r="Q50" s="86"/>
    </row>
    <row r="51" spans="1:17" x14ac:dyDescent="0.25">
      <c r="A51" s="81"/>
      <c r="B51" s="82"/>
      <c r="C51" s="81"/>
      <c r="D51" s="82"/>
      <c r="E51" s="81"/>
      <c r="F51" s="127"/>
      <c r="G51" s="83"/>
      <c r="H51" s="122"/>
      <c r="I51" s="123"/>
      <c r="J51" s="124"/>
      <c r="K51" s="123"/>
      <c r="L51" s="123"/>
      <c r="M51" s="132"/>
      <c r="N51" s="126"/>
      <c r="O51" s="100"/>
      <c r="P51" s="86"/>
      <c r="Q51" s="86"/>
    </row>
    <row r="52" spans="1:17" s="87" customFormat="1" x14ac:dyDescent="0.25">
      <c r="A52" s="81"/>
      <c r="B52" s="82"/>
      <c r="C52" s="81"/>
      <c r="D52" s="82"/>
      <c r="E52" s="81"/>
      <c r="F52" s="127"/>
      <c r="G52" s="83"/>
      <c r="H52" s="122"/>
      <c r="I52" s="123"/>
      <c r="J52" s="124"/>
      <c r="K52" s="123"/>
      <c r="L52" s="123"/>
      <c r="M52" s="132"/>
      <c r="N52" s="126"/>
      <c r="O52" s="100"/>
      <c r="P52" s="86"/>
      <c r="Q52" s="86"/>
    </row>
    <row r="53" spans="1:17" x14ac:dyDescent="0.25">
      <c r="A53" s="81"/>
      <c r="B53" s="82"/>
      <c r="C53" s="81"/>
      <c r="D53" s="82"/>
      <c r="E53" s="81"/>
      <c r="F53" s="127"/>
      <c r="G53" s="93"/>
      <c r="H53" s="122"/>
      <c r="I53" s="123"/>
      <c r="J53" s="124"/>
      <c r="K53" s="123"/>
      <c r="L53" s="123"/>
      <c r="M53" s="132"/>
      <c r="N53" s="126"/>
      <c r="O53" s="100"/>
      <c r="P53" s="86"/>
      <c r="Q53" s="86"/>
    </row>
    <row r="54" spans="1:17" x14ac:dyDescent="0.25">
      <c r="A54" s="81"/>
      <c r="B54" s="82"/>
      <c r="C54" s="81"/>
      <c r="D54" s="82"/>
      <c r="E54" s="81"/>
      <c r="F54" s="127"/>
      <c r="G54" s="93"/>
      <c r="H54" s="122"/>
      <c r="I54" s="123"/>
      <c r="J54" s="124"/>
      <c r="K54" s="124"/>
      <c r="L54" s="125"/>
      <c r="M54" s="125"/>
      <c r="N54" s="126"/>
      <c r="O54" s="100"/>
      <c r="P54" s="86"/>
      <c r="Q54" s="86"/>
    </row>
    <row r="55" spans="1:17" x14ac:dyDescent="0.25">
      <c r="A55" s="81"/>
      <c r="B55" s="82"/>
      <c r="C55" s="81"/>
      <c r="D55" s="82"/>
      <c r="E55" s="81"/>
      <c r="F55" s="127"/>
      <c r="G55" s="93"/>
      <c r="H55" s="122"/>
      <c r="I55" s="123"/>
      <c r="J55" s="124"/>
      <c r="K55" s="124"/>
      <c r="L55" s="125"/>
      <c r="M55" s="125"/>
      <c r="N55" s="126"/>
      <c r="O55" s="100"/>
      <c r="P55" s="86"/>
      <c r="Q55" s="86"/>
    </row>
    <row r="56" spans="1:17" x14ac:dyDescent="0.25">
      <c r="A56" s="81"/>
      <c r="B56" s="82"/>
      <c r="C56" s="81"/>
      <c r="D56" s="82"/>
      <c r="E56" s="81"/>
      <c r="F56" s="127"/>
      <c r="G56" s="93"/>
      <c r="H56" s="122"/>
      <c r="I56" s="123"/>
      <c r="J56" s="124"/>
      <c r="K56" s="124"/>
      <c r="L56" s="125"/>
      <c r="M56" s="125"/>
      <c r="N56" s="126"/>
      <c r="O56" s="100"/>
      <c r="P56" s="86"/>
      <c r="Q56" s="86"/>
    </row>
    <row r="57" spans="1:17" x14ac:dyDescent="0.25">
      <c r="A57" s="81"/>
      <c r="B57" s="82"/>
      <c r="C57" s="81"/>
      <c r="D57" s="82"/>
      <c r="E57" s="81"/>
      <c r="F57" s="127"/>
      <c r="G57" s="93"/>
      <c r="H57" s="122"/>
      <c r="I57" s="123"/>
      <c r="J57" s="124"/>
      <c r="K57" s="124"/>
      <c r="L57" s="125"/>
      <c r="M57" s="125"/>
      <c r="N57" s="126"/>
      <c r="O57" s="100"/>
      <c r="P57" s="86"/>
      <c r="Q57" s="86"/>
    </row>
    <row r="58" spans="1:17" s="87" customFormat="1" x14ac:dyDescent="0.25">
      <c r="A58" s="81"/>
      <c r="B58" s="82"/>
      <c r="C58" s="81"/>
      <c r="D58" s="82"/>
      <c r="E58" s="81"/>
      <c r="F58" s="127"/>
      <c r="G58" s="93"/>
      <c r="H58" s="122"/>
      <c r="I58" s="123"/>
      <c r="J58" s="124"/>
      <c r="K58" s="124"/>
      <c r="L58" s="125"/>
      <c r="M58" s="125"/>
      <c r="N58" s="126"/>
      <c r="O58" s="100"/>
      <c r="P58" s="86"/>
      <c r="Q58" s="86"/>
    </row>
    <row r="59" spans="1:17" x14ac:dyDescent="0.25">
      <c r="A59" s="81"/>
      <c r="B59" s="82"/>
      <c r="C59" s="81"/>
      <c r="D59" s="82"/>
      <c r="E59" s="81"/>
      <c r="F59" s="127"/>
      <c r="G59" s="93"/>
      <c r="H59" s="122"/>
      <c r="I59" s="123"/>
      <c r="J59" s="124"/>
      <c r="K59" s="124"/>
      <c r="L59" s="125"/>
      <c r="M59" s="125"/>
      <c r="N59" s="126"/>
      <c r="O59" s="100"/>
      <c r="P59" s="86"/>
      <c r="Q59" s="86"/>
    </row>
    <row r="60" spans="1:17" x14ac:dyDescent="0.25">
      <c r="A60" s="81"/>
      <c r="B60" s="82"/>
      <c r="C60" s="81"/>
      <c r="D60" s="82"/>
      <c r="E60" s="81"/>
      <c r="F60" s="127"/>
      <c r="G60" s="93"/>
      <c r="H60" s="122"/>
      <c r="I60" s="123"/>
      <c r="J60" s="124"/>
      <c r="K60" s="124"/>
      <c r="L60" s="125"/>
      <c r="M60" s="125"/>
      <c r="N60" s="126"/>
      <c r="O60" s="100"/>
      <c r="P60" s="86"/>
      <c r="Q60" s="86"/>
    </row>
    <row r="61" spans="1:17" x14ac:dyDescent="0.25">
      <c r="A61" s="81"/>
      <c r="B61" s="82"/>
      <c r="C61" s="81"/>
      <c r="D61" s="82"/>
      <c r="E61" s="81"/>
      <c r="F61" s="127"/>
      <c r="G61" s="93"/>
      <c r="H61" s="122"/>
      <c r="I61" s="123"/>
      <c r="J61" s="124"/>
      <c r="K61" s="124"/>
      <c r="L61" s="125"/>
      <c r="M61" s="125"/>
      <c r="N61" s="126"/>
      <c r="O61" s="100"/>
      <c r="P61" s="86"/>
      <c r="Q61" s="86"/>
    </row>
    <row r="62" spans="1:15" s="86" customFormat="1" x14ac:dyDescent="0.25">
      <c r="A62" s="81"/>
      <c r="B62" s="82"/>
      <c r="C62" s="81"/>
      <c r="D62" s="82"/>
      <c r="E62" s="81"/>
      <c r="F62" s="83"/>
      <c r="G62" s="93"/>
      <c r="H62" s="122"/>
      <c r="I62" s="123"/>
      <c r="J62" s="124"/>
      <c r="K62" s="124"/>
      <c r="L62" s="125"/>
      <c r="M62" s="125"/>
      <c r="N62" s="126"/>
      <c r="O62" s="100"/>
    </row>
    <row r="63" spans="1:17" x14ac:dyDescent="0.25">
      <c r="A63" s="81"/>
      <c r="B63" s="82"/>
      <c r="C63" s="81"/>
      <c r="D63" s="82"/>
      <c r="E63" s="81"/>
      <c r="F63" s="127"/>
      <c r="G63" s="93"/>
      <c r="H63" s="122"/>
      <c r="I63" s="123"/>
      <c r="J63" s="124"/>
      <c r="K63" s="124"/>
      <c r="L63" s="125"/>
      <c r="M63" s="125"/>
      <c r="N63" s="126"/>
      <c r="O63" s="100"/>
      <c r="P63" s="86"/>
      <c r="Q63" s="86"/>
    </row>
    <row r="64" spans="1:17" x14ac:dyDescent="0.25">
      <c r="A64" s="81"/>
      <c r="B64" s="82"/>
      <c r="C64" s="81"/>
      <c r="D64" s="82"/>
      <c r="E64" s="81"/>
      <c r="F64" s="82"/>
      <c r="G64" s="93"/>
      <c r="H64" s="129"/>
      <c r="I64" s="130"/>
      <c r="J64" s="130"/>
      <c r="K64" s="124"/>
      <c r="L64" s="123"/>
      <c r="M64" s="130"/>
      <c r="N64" s="126"/>
      <c r="O64" s="100"/>
      <c r="P64" s="86"/>
      <c r="Q64" s="86"/>
    </row>
    <row r="65" spans="1:17" x14ac:dyDescent="0.25">
      <c r="A65" s="81"/>
      <c r="B65" s="82"/>
      <c r="C65" s="81"/>
      <c r="D65" s="82"/>
      <c r="E65" s="81"/>
      <c r="F65" s="127"/>
      <c r="G65" s="93"/>
      <c r="H65" s="122"/>
      <c r="I65" s="123"/>
      <c r="J65" s="124"/>
      <c r="K65" s="124"/>
      <c r="L65" s="125"/>
      <c r="M65" s="125"/>
      <c r="N65" s="126"/>
      <c r="O65" s="100"/>
      <c r="P65" s="86"/>
      <c r="Q65" s="86"/>
    </row>
    <row r="66" spans="1:17" x14ac:dyDescent="0.25">
      <c r="A66" s="81"/>
      <c r="B66" s="82"/>
      <c r="C66" s="81"/>
      <c r="D66" s="82"/>
      <c r="E66" s="81"/>
      <c r="F66" s="127"/>
      <c r="G66" s="93"/>
      <c r="H66" s="122"/>
      <c r="I66" s="123"/>
      <c r="J66" s="124"/>
      <c r="K66" s="124"/>
      <c r="L66" s="125"/>
      <c r="M66" s="125"/>
      <c r="N66" s="126"/>
      <c r="O66" s="100"/>
      <c r="P66" s="86"/>
      <c r="Q66" s="86"/>
    </row>
    <row r="67" spans="1:17" s="87" customFormat="1" x14ac:dyDescent="0.25">
      <c r="A67" s="81"/>
      <c r="B67" s="82"/>
      <c r="C67" s="81"/>
      <c r="D67" s="82"/>
      <c r="E67" s="81"/>
      <c r="F67" s="127"/>
      <c r="G67" s="93"/>
      <c r="H67" s="122"/>
      <c r="I67" s="123"/>
      <c r="J67" s="124"/>
      <c r="K67" s="124"/>
      <c r="L67" s="125"/>
      <c r="M67" s="125"/>
      <c r="N67" s="126"/>
      <c r="O67" s="100"/>
      <c r="P67" s="86"/>
      <c r="Q67" s="86"/>
    </row>
    <row r="68" spans="1:17" x14ac:dyDescent="0.25">
      <c r="A68" s="81"/>
      <c r="B68" s="82"/>
      <c r="C68" s="81"/>
      <c r="D68" s="82"/>
      <c r="E68" s="81"/>
      <c r="F68" s="127"/>
      <c r="G68" s="93"/>
      <c r="H68" s="122"/>
      <c r="I68" s="123"/>
      <c r="J68" s="124"/>
      <c r="K68" s="124"/>
      <c r="L68" s="125"/>
      <c r="M68" s="125"/>
      <c r="N68" s="126"/>
      <c r="O68" s="100"/>
      <c r="P68" s="86"/>
      <c r="Q68" s="86"/>
    </row>
    <row r="69" spans="1:17" x14ac:dyDescent="0.25">
      <c r="A69" s="81"/>
      <c r="B69" s="82"/>
      <c r="C69" s="81"/>
      <c r="D69" s="82"/>
      <c r="E69" s="81"/>
      <c r="F69" s="127"/>
      <c r="G69" s="93"/>
      <c r="H69" s="122"/>
      <c r="I69" s="123"/>
      <c r="J69" s="124"/>
      <c r="K69" s="124"/>
      <c r="L69" s="125"/>
      <c r="M69" s="125"/>
      <c r="N69" s="126"/>
      <c r="O69" s="100"/>
      <c r="P69" s="86"/>
      <c r="Q69" s="86"/>
    </row>
    <row r="70" spans="1:17" x14ac:dyDescent="0.25">
      <c r="A70" s="81"/>
      <c r="B70" s="82"/>
      <c r="C70" s="81"/>
      <c r="D70" s="82"/>
      <c r="E70" s="81"/>
      <c r="F70" s="127"/>
      <c r="G70" s="83"/>
      <c r="H70" s="122"/>
      <c r="I70" s="123"/>
      <c r="J70" s="124"/>
      <c r="K70" s="124"/>
      <c r="L70" s="125"/>
      <c r="M70" s="125"/>
      <c r="N70" s="126"/>
      <c r="O70" s="100"/>
      <c r="P70" s="86"/>
      <c r="Q70" s="86"/>
    </row>
    <row r="71" spans="1:17" x14ac:dyDescent="0.25">
      <c r="A71" s="81"/>
      <c r="B71" s="82"/>
      <c r="C71" s="81"/>
      <c r="D71" s="82"/>
      <c r="E71" s="81"/>
      <c r="F71" s="127"/>
      <c r="G71" s="83"/>
      <c r="H71" s="122"/>
      <c r="I71" s="123"/>
      <c r="J71" s="124"/>
      <c r="K71" s="124"/>
      <c r="L71" s="125"/>
      <c r="M71" s="125"/>
      <c r="N71" s="126"/>
      <c r="O71" s="100"/>
      <c r="P71" s="86"/>
      <c r="Q71" s="86"/>
    </row>
    <row r="72" spans="1:17" x14ac:dyDescent="0.25">
      <c r="A72" s="81"/>
      <c r="B72" s="82"/>
      <c r="C72" s="81"/>
      <c r="D72" s="82"/>
      <c r="E72" s="81"/>
      <c r="F72" s="127"/>
      <c r="G72" s="93"/>
      <c r="H72" s="122"/>
      <c r="I72" s="123"/>
      <c r="J72" s="124"/>
      <c r="K72" s="124"/>
      <c r="L72" s="125"/>
      <c r="M72" s="125"/>
      <c r="N72" s="126"/>
      <c r="O72" s="100"/>
      <c r="P72" s="86"/>
      <c r="Q72" s="86"/>
    </row>
    <row r="73" spans="1:17" x14ac:dyDescent="0.25">
      <c r="A73" s="133"/>
      <c r="B73" s="128"/>
      <c r="C73" s="81"/>
      <c r="D73" s="82"/>
      <c r="E73" s="81"/>
      <c r="F73" s="127"/>
      <c r="G73" s="93"/>
      <c r="H73" s="122"/>
      <c r="I73" s="123"/>
      <c r="J73" s="124"/>
      <c r="K73" s="124"/>
      <c r="L73" s="125"/>
      <c r="M73" s="125"/>
      <c r="N73" s="126"/>
      <c r="O73" s="100"/>
      <c r="P73" s="86"/>
      <c r="Q73" s="86"/>
    </row>
    <row r="74" spans="1:17" x14ac:dyDescent="0.25">
      <c r="A74" s="81"/>
      <c r="B74" s="82"/>
      <c r="C74" s="81"/>
      <c r="D74" s="82"/>
      <c r="E74" s="81"/>
      <c r="F74" s="127"/>
      <c r="G74" s="93"/>
      <c r="H74" s="122"/>
      <c r="I74" s="123"/>
      <c r="J74" s="124"/>
      <c r="K74" s="124"/>
      <c r="L74" s="125"/>
      <c r="M74" s="125"/>
      <c r="N74" s="126"/>
      <c r="O74" s="100"/>
      <c r="P74" s="86"/>
      <c r="Q74" s="86"/>
    </row>
    <row r="75" spans="1:17" x14ac:dyDescent="0.25">
      <c r="A75" s="133"/>
      <c r="B75" s="128"/>
      <c r="C75" s="81"/>
      <c r="D75" s="82"/>
      <c r="E75" s="81"/>
      <c r="F75" s="127"/>
      <c r="G75" s="93"/>
      <c r="H75" s="122"/>
      <c r="I75" s="123"/>
      <c r="J75" s="124"/>
      <c r="K75" s="124"/>
      <c r="L75" s="125"/>
      <c r="M75" s="125"/>
      <c r="N75" s="126"/>
      <c r="O75" s="100"/>
      <c r="P75" s="86"/>
      <c r="Q75" s="86"/>
    </row>
    <row r="76" spans="1:17" x14ac:dyDescent="0.25">
      <c r="A76" s="133"/>
      <c r="B76" s="128"/>
      <c r="C76" s="81"/>
      <c r="D76" s="82"/>
      <c r="E76" s="81"/>
      <c r="F76" s="127"/>
      <c r="G76" s="83"/>
      <c r="H76" s="122"/>
      <c r="I76" s="123"/>
      <c r="J76" s="124"/>
      <c r="K76" s="124"/>
      <c r="L76" s="125"/>
      <c r="M76" s="125"/>
      <c r="N76" s="126"/>
      <c r="O76" s="100"/>
      <c r="P76" s="86"/>
      <c r="Q76" s="86"/>
    </row>
    <row r="77" spans="1:17" x14ac:dyDescent="0.25">
      <c r="A77" s="133"/>
      <c r="B77" s="128"/>
      <c r="C77" s="81"/>
      <c r="D77" s="82"/>
      <c r="E77" s="81"/>
      <c r="F77" s="127"/>
      <c r="G77" s="83"/>
      <c r="H77" s="122"/>
      <c r="I77" s="123"/>
      <c r="J77" s="124"/>
      <c r="K77" s="124"/>
      <c r="L77" s="125"/>
      <c r="M77" s="125"/>
      <c r="N77" s="126"/>
      <c r="O77" s="100"/>
      <c r="P77" s="86"/>
      <c r="Q77" s="86"/>
    </row>
    <row r="78" spans="1:17" x14ac:dyDescent="0.25">
      <c r="A78" s="133"/>
      <c r="B78" s="128"/>
      <c r="C78" s="81"/>
      <c r="D78" s="82"/>
      <c r="E78" s="81"/>
      <c r="F78" s="127"/>
      <c r="G78" s="83"/>
      <c r="H78" s="122"/>
      <c r="I78" s="123"/>
      <c r="J78" s="124"/>
      <c r="K78" s="124"/>
      <c r="L78" s="125"/>
      <c r="M78" s="125"/>
      <c r="N78" s="126"/>
      <c r="O78" s="100"/>
      <c r="P78" s="86"/>
      <c r="Q78" s="86"/>
    </row>
    <row r="79" spans="1:17" x14ac:dyDescent="0.25">
      <c r="A79" s="133"/>
      <c r="B79" s="128"/>
      <c r="C79" s="81"/>
      <c r="D79" s="82"/>
      <c r="E79" s="81"/>
      <c r="F79" s="127"/>
      <c r="G79" s="83"/>
      <c r="H79" s="122"/>
      <c r="I79" s="123"/>
      <c r="J79" s="124"/>
      <c r="K79" s="124"/>
      <c r="L79" s="125"/>
      <c r="M79" s="125"/>
      <c r="N79" s="126"/>
      <c r="O79" s="100"/>
      <c r="P79" s="86"/>
      <c r="Q79" s="86"/>
    </row>
    <row r="80" spans="1:17" x14ac:dyDescent="0.25">
      <c r="A80" s="133"/>
      <c r="B80" s="128"/>
      <c r="C80" s="81"/>
      <c r="D80" s="82"/>
      <c r="E80" s="81"/>
      <c r="F80" s="127"/>
      <c r="G80" s="93"/>
      <c r="H80" s="122"/>
      <c r="I80" s="123"/>
      <c r="J80" s="124"/>
      <c r="K80" s="124"/>
      <c r="L80" s="125"/>
      <c r="M80" s="125"/>
      <c r="N80" s="126"/>
      <c r="O80" s="100"/>
      <c r="P80" s="86"/>
      <c r="Q80" s="86"/>
    </row>
    <row r="81" spans="1:17" x14ac:dyDescent="0.25">
      <c r="A81" s="133"/>
      <c r="B81" s="128"/>
      <c r="C81" s="81"/>
      <c r="D81" s="82"/>
      <c r="E81" s="81"/>
      <c r="F81" s="127"/>
      <c r="G81" s="83"/>
      <c r="H81" s="122"/>
      <c r="I81" s="123"/>
      <c r="J81" s="124"/>
      <c r="K81" s="124"/>
      <c r="L81" s="125"/>
      <c r="M81" s="125"/>
      <c r="N81" s="126"/>
      <c r="O81" s="100"/>
      <c r="P81" s="86"/>
      <c r="Q81" s="86"/>
    </row>
    <row r="82" spans="1:17" x14ac:dyDescent="0.25">
      <c r="A82" s="133"/>
      <c r="B82" s="128"/>
      <c r="C82" s="81"/>
      <c r="D82" s="82"/>
      <c r="E82" s="81"/>
      <c r="F82" s="127"/>
      <c r="G82" s="83"/>
      <c r="H82" s="122"/>
      <c r="I82" s="123"/>
      <c r="J82" s="124"/>
      <c r="K82" s="124"/>
      <c r="L82" s="125"/>
      <c r="M82" s="125"/>
      <c r="N82" s="126"/>
      <c r="O82" s="100"/>
      <c r="P82" s="86"/>
      <c r="Q82" s="86"/>
    </row>
    <row r="83" spans="1:17" x14ac:dyDescent="0.25">
      <c r="A83" s="133"/>
      <c r="B83" s="128"/>
      <c r="C83" s="81"/>
      <c r="D83" s="82"/>
      <c r="E83" s="81"/>
      <c r="F83" s="127"/>
      <c r="G83" s="83"/>
      <c r="H83" s="122"/>
      <c r="I83" s="123"/>
      <c r="J83" s="124"/>
      <c r="K83" s="124"/>
      <c r="L83" s="125"/>
      <c r="M83" s="125"/>
      <c r="N83" s="126"/>
      <c r="O83" s="100"/>
      <c r="P83" s="86"/>
      <c r="Q83" s="86"/>
    </row>
    <row r="84" spans="1:17" x14ac:dyDescent="0.25">
      <c r="A84" s="133"/>
      <c r="B84" s="128"/>
      <c r="C84" s="81"/>
      <c r="D84" s="82"/>
      <c r="E84" s="81"/>
      <c r="F84" s="127"/>
      <c r="G84" s="83"/>
      <c r="H84" s="122"/>
      <c r="I84" s="123"/>
      <c r="J84" s="124"/>
      <c r="K84" s="124"/>
      <c r="L84" s="125"/>
      <c r="M84" s="125"/>
      <c r="N84" s="126"/>
      <c r="O84" s="100"/>
      <c r="P84" s="86"/>
      <c r="Q84" s="86"/>
    </row>
    <row r="85" spans="1:17" x14ac:dyDescent="0.25">
      <c r="A85" s="133"/>
      <c r="B85" s="128"/>
      <c r="C85" s="81"/>
      <c r="D85" s="82"/>
      <c r="E85" s="81"/>
      <c r="F85" s="127"/>
      <c r="G85" s="93"/>
      <c r="H85" s="122"/>
      <c r="I85" s="123"/>
      <c r="J85" s="124"/>
      <c r="K85" s="124"/>
      <c r="L85" s="125"/>
      <c r="M85" s="125"/>
      <c r="N85" s="126"/>
      <c r="O85" s="100"/>
      <c r="P85" s="86"/>
      <c r="Q85" s="86"/>
    </row>
    <row r="86" spans="1:17" x14ac:dyDescent="0.25">
      <c r="A86" s="81"/>
      <c r="B86" s="82"/>
      <c r="C86" s="81"/>
      <c r="D86" s="82"/>
      <c r="E86" s="81"/>
      <c r="F86" s="127"/>
      <c r="G86" s="93"/>
      <c r="H86" s="122"/>
      <c r="I86" s="123"/>
      <c r="J86" s="124"/>
      <c r="K86" s="124"/>
      <c r="L86" s="125"/>
      <c r="M86" s="125"/>
      <c r="N86" s="126"/>
      <c r="O86" s="100"/>
      <c r="P86" s="86"/>
      <c r="Q86" s="86"/>
    </row>
    <row r="87" spans="1:17" x14ac:dyDescent="0.25">
      <c r="A87" s="81"/>
      <c r="B87" s="82"/>
      <c r="C87" s="81"/>
      <c r="D87" s="82"/>
      <c r="E87" s="81"/>
      <c r="F87" s="127"/>
      <c r="G87" s="93"/>
      <c r="H87" s="122"/>
      <c r="I87" s="123"/>
      <c r="J87" s="124"/>
      <c r="K87" s="124"/>
      <c r="L87" s="125"/>
      <c r="M87" s="125"/>
      <c r="N87" s="126"/>
      <c r="O87" s="100"/>
      <c r="P87" s="86"/>
      <c r="Q87" s="86"/>
    </row>
    <row r="88" spans="1:17" x14ac:dyDescent="0.25">
      <c r="A88" s="81"/>
      <c r="B88" s="82"/>
      <c r="C88" s="81"/>
      <c r="D88" s="82"/>
      <c r="E88" s="81"/>
      <c r="F88" s="127"/>
      <c r="G88" s="93"/>
      <c r="H88" s="122"/>
      <c r="I88" s="123"/>
      <c r="J88" s="124"/>
      <c r="K88" s="124"/>
      <c r="L88" s="125"/>
      <c r="M88" s="125"/>
      <c r="N88" s="126"/>
      <c r="O88" s="100"/>
      <c r="P88" s="86"/>
      <c r="Q88" s="86"/>
    </row>
    <row r="89" spans="1:17" x14ac:dyDescent="0.25">
      <c r="A89" s="81"/>
      <c r="B89" s="82"/>
      <c r="C89" s="81"/>
      <c r="D89" s="82"/>
      <c r="E89" s="81"/>
      <c r="F89" s="127"/>
      <c r="G89" s="93"/>
      <c r="H89" s="122"/>
      <c r="I89" s="123"/>
      <c r="J89" s="124"/>
      <c r="K89" s="124"/>
      <c r="L89" s="125"/>
      <c r="M89" s="125"/>
      <c r="N89" s="126"/>
      <c r="O89" s="100"/>
      <c r="P89" s="86"/>
      <c r="Q89" s="86"/>
    </row>
    <row r="90" spans="1:17" x14ac:dyDescent="0.25">
      <c r="A90" s="81"/>
      <c r="B90" s="82"/>
      <c r="C90" s="81"/>
      <c r="D90" s="82"/>
      <c r="E90" s="81"/>
      <c r="F90" s="127"/>
      <c r="G90" s="93"/>
      <c r="H90" s="122"/>
      <c r="I90" s="123"/>
      <c r="J90" s="124"/>
      <c r="K90" s="124"/>
      <c r="L90" s="125"/>
      <c r="M90" s="125"/>
      <c r="N90" s="126"/>
      <c r="O90" s="100"/>
      <c r="P90" s="86"/>
      <c r="Q90" s="86"/>
    </row>
    <row r="91" spans="1:17" x14ac:dyDescent="0.25">
      <c r="A91" s="81"/>
      <c r="B91" s="82"/>
      <c r="C91" s="81"/>
      <c r="D91" s="82"/>
      <c r="E91" s="81"/>
      <c r="F91" s="127"/>
      <c r="G91" s="93"/>
      <c r="H91" s="122"/>
      <c r="I91" s="123"/>
      <c r="J91" s="124"/>
      <c r="K91" s="124"/>
      <c r="L91" s="125"/>
      <c r="M91" s="125"/>
      <c r="N91" s="126"/>
      <c r="O91" s="100"/>
      <c r="P91" s="86"/>
      <c r="Q91" s="86"/>
    </row>
    <row r="92" spans="1:17" x14ac:dyDescent="0.25">
      <c r="A92" s="81"/>
      <c r="B92" s="82"/>
      <c r="C92" s="81"/>
      <c r="D92" s="82"/>
      <c r="E92" s="81"/>
      <c r="F92" s="127"/>
      <c r="G92" s="93"/>
      <c r="H92" s="122"/>
      <c r="I92" s="123"/>
      <c r="J92" s="124"/>
      <c r="K92" s="124"/>
      <c r="L92" s="125"/>
      <c r="M92" s="125"/>
      <c r="N92" s="126"/>
      <c r="O92" s="100"/>
      <c r="P92" s="86"/>
      <c r="Q92" s="86"/>
    </row>
    <row r="93" spans="1:17" x14ac:dyDescent="0.25">
      <c r="A93" s="81"/>
      <c r="B93" s="82"/>
      <c r="C93" s="81"/>
      <c r="D93" s="82"/>
      <c r="E93" s="81"/>
      <c r="F93" s="127"/>
      <c r="G93" s="93"/>
      <c r="H93" s="122"/>
      <c r="I93" s="123"/>
      <c r="J93" s="124"/>
      <c r="K93" s="124"/>
      <c r="L93" s="125"/>
      <c r="M93" s="125"/>
      <c r="N93" s="126"/>
      <c r="O93" s="100"/>
      <c r="P93" s="86"/>
      <c r="Q93" s="86"/>
    </row>
    <row r="94" spans="1:17" x14ac:dyDescent="0.25">
      <c r="A94" s="81"/>
      <c r="B94" s="82"/>
      <c r="C94" s="81"/>
      <c r="D94" s="82"/>
      <c r="E94" s="81"/>
      <c r="F94" s="127"/>
      <c r="G94" s="93"/>
      <c r="H94" s="122"/>
      <c r="I94" s="123"/>
      <c r="J94" s="124"/>
      <c r="K94" s="124"/>
      <c r="L94" s="125"/>
      <c r="M94" s="125"/>
      <c r="N94" s="126"/>
      <c r="O94" s="100"/>
      <c r="P94" s="86"/>
      <c r="Q94" s="86"/>
    </row>
    <row r="95" spans="1:17" x14ac:dyDescent="0.25">
      <c r="A95" s="81"/>
      <c r="B95" s="82"/>
      <c r="C95" s="81"/>
      <c r="D95" s="82"/>
      <c r="E95" s="81"/>
      <c r="F95" s="127"/>
      <c r="G95" s="93"/>
      <c r="H95" s="122"/>
      <c r="I95" s="123"/>
      <c r="J95" s="124"/>
      <c r="K95" s="124"/>
      <c r="L95" s="125"/>
      <c r="M95" s="125"/>
      <c r="N95" s="126"/>
      <c r="O95" s="100"/>
      <c r="P95" s="86"/>
      <c r="Q95" s="86"/>
    </row>
    <row r="96" spans="1:17" x14ac:dyDescent="0.25">
      <c r="A96" s="81"/>
      <c r="B96" s="82"/>
      <c r="C96" s="81"/>
      <c r="D96" s="82"/>
      <c r="E96" s="81"/>
      <c r="F96" s="127"/>
      <c r="G96" s="93"/>
      <c r="H96" s="122"/>
      <c r="I96" s="123"/>
      <c r="J96" s="124"/>
      <c r="K96" s="124"/>
      <c r="L96" s="125"/>
      <c r="M96" s="125"/>
      <c r="N96" s="126"/>
      <c r="O96" s="100"/>
      <c r="P96" s="86"/>
      <c r="Q96" s="86"/>
    </row>
    <row r="97" spans="1:17" x14ac:dyDescent="0.25">
      <c r="A97" s="81"/>
      <c r="B97" s="82"/>
      <c r="C97" s="81"/>
      <c r="D97" s="82"/>
      <c r="E97" s="81"/>
      <c r="F97" s="127"/>
      <c r="G97" s="93"/>
      <c r="H97" s="122"/>
      <c r="I97" s="123"/>
      <c r="J97" s="124"/>
      <c r="K97" s="124"/>
      <c r="L97" s="125"/>
      <c r="M97" s="125"/>
      <c r="N97" s="126"/>
      <c r="O97" s="100"/>
      <c r="P97" s="86"/>
      <c r="Q97" s="86"/>
    </row>
    <row r="98" spans="1:17" x14ac:dyDescent="0.25">
      <c r="A98" s="81"/>
      <c r="B98" s="82"/>
      <c r="C98" s="81"/>
      <c r="D98" s="82"/>
      <c r="E98" s="81"/>
      <c r="F98" s="127"/>
      <c r="G98" s="93"/>
      <c r="H98" s="122"/>
      <c r="I98" s="123"/>
      <c r="J98" s="124"/>
      <c r="K98" s="124"/>
      <c r="L98" s="125"/>
      <c r="M98" s="125"/>
      <c r="N98" s="126"/>
      <c r="O98" s="100"/>
      <c r="P98" s="86"/>
      <c r="Q98" s="86"/>
    </row>
    <row r="99" spans="1:17" x14ac:dyDescent="0.25">
      <c r="A99" s="81"/>
      <c r="B99" s="82"/>
      <c r="C99" s="81"/>
      <c r="D99" s="82"/>
      <c r="E99" s="81"/>
      <c r="F99" s="127"/>
      <c r="G99" s="93"/>
      <c r="H99" s="122"/>
      <c r="I99" s="123"/>
      <c r="J99" s="124"/>
      <c r="K99" s="124"/>
      <c r="L99" s="125"/>
      <c r="M99" s="125"/>
      <c r="N99" s="126"/>
      <c r="O99" s="100"/>
      <c r="P99" s="86"/>
      <c r="Q99" s="86"/>
    </row>
    <row r="100" spans="1:17" x14ac:dyDescent="0.25">
      <c r="A100" s="81"/>
      <c r="B100" s="82"/>
      <c r="C100" s="81"/>
      <c r="D100" s="82"/>
      <c r="E100" s="81"/>
      <c r="F100" s="127"/>
      <c r="G100" s="93"/>
      <c r="H100" s="122"/>
      <c r="I100" s="123"/>
      <c r="J100" s="124"/>
      <c r="K100" s="124"/>
      <c r="L100" s="125"/>
      <c r="M100" s="125"/>
      <c r="N100" s="126"/>
      <c r="O100" s="100"/>
      <c r="P100" s="86"/>
      <c r="Q100" s="86"/>
    </row>
    <row r="101" spans="1:17" x14ac:dyDescent="0.25">
      <c r="A101" s="81"/>
      <c r="B101" s="82"/>
      <c r="C101" s="81"/>
      <c r="D101" s="82"/>
      <c r="E101" s="81"/>
      <c r="F101" s="127"/>
      <c r="G101" s="93"/>
      <c r="H101" s="122"/>
      <c r="I101" s="123"/>
      <c r="J101" s="124"/>
      <c r="K101" s="124"/>
      <c r="L101" s="125"/>
      <c r="M101" s="125"/>
      <c r="N101" s="126"/>
      <c r="O101" s="100"/>
      <c r="P101" s="86"/>
      <c r="Q101" s="86"/>
    </row>
    <row r="102" spans="1:17" x14ac:dyDescent="0.25">
      <c r="A102" s="81"/>
      <c r="B102" s="82"/>
      <c r="C102" s="81"/>
      <c r="D102" s="82"/>
      <c r="E102" s="81"/>
      <c r="F102" s="127"/>
      <c r="G102" s="93"/>
      <c r="H102" s="122"/>
      <c r="I102" s="123"/>
      <c r="J102" s="124"/>
      <c r="K102" s="124"/>
      <c r="L102" s="125"/>
      <c r="M102" s="125"/>
      <c r="N102" s="126"/>
      <c r="O102" s="100"/>
      <c r="P102" s="86"/>
      <c r="Q102" s="86"/>
    </row>
    <row r="103" spans="1:17" x14ac:dyDescent="0.25">
      <c r="A103" s="81"/>
      <c r="B103" s="82"/>
      <c r="C103" s="81"/>
      <c r="D103" s="82"/>
      <c r="E103" s="81"/>
      <c r="F103" s="127"/>
      <c r="G103" s="93"/>
      <c r="H103" s="122"/>
      <c r="I103" s="123"/>
      <c r="J103" s="124"/>
      <c r="K103" s="124"/>
      <c r="L103" s="125"/>
      <c r="M103" s="125"/>
      <c r="N103" s="126"/>
      <c r="O103" s="100"/>
      <c r="P103" s="86"/>
      <c r="Q103" s="86"/>
    </row>
    <row r="104" spans="1:17" x14ac:dyDescent="0.25">
      <c r="A104" s="81"/>
      <c r="B104" s="82"/>
      <c r="C104" s="81"/>
      <c r="D104" s="82"/>
      <c r="E104" s="81"/>
      <c r="F104" s="127"/>
      <c r="G104" s="93"/>
      <c r="H104" s="122"/>
      <c r="I104" s="123"/>
      <c r="J104" s="124"/>
      <c r="K104" s="124"/>
      <c r="L104" s="125"/>
      <c r="M104" s="125"/>
      <c r="N104" s="126"/>
      <c r="O104" s="100"/>
      <c r="P104" s="86"/>
      <c r="Q104" s="86"/>
    </row>
    <row r="105" spans="1:17" x14ac:dyDescent="0.25">
      <c r="A105" s="81"/>
      <c r="B105" s="82"/>
      <c r="C105" s="81"/>
      <c r="D105" s="82"/>
      <c r="E105" s="81"/>
      <c r="F105" s="127"/>
      <c r="G105" s="93"/>
      <c r="H105" s="122"/>
      <c r="I105" s="123"/>
      <c r="J105" s="124"/>
      <c r="K105" s="124"/>
      <c r="L105" s="125"/>
      <c r="M105" s="125"/>
      <c r="N105" s="126"/>
      <c r="O105" s="100"/>
      <c r="P105" s="86"/>
      <c r="Q105" s="86"/>
    </row>
    <row r="106" spans="1:17" x14ac:dyDescent="0.25">
      <c r="A106" s="81"/>
      <c r="B106" s="82"/>
      <c r="C106" s="81"/>
      <c r="D106" s="82"/>
      <c r="E106" s="81"/>
      <c r="F106" s="127"/>
      <c r="G106" s="93"/>
      <c r="H106" s="122"/>
      <c r="I106" s="123"/>
      <c r="J106" s="124"/>
      <c r="K106" s="124"/>
      <c r="L106" s="125"/>
      <c r="M106" s="125"/>
      <c r="N106" s="126"/>
      <c r="O106" s="100"/>
      <c r="P106" s="86"/>
      <c r="Q106" s="86"/>
    </row>
    <row r="107" spans="1:14" x14ac:dyDescent="0.25">
      <c r="A107" s="81"/>
      <c r="B107" s="82"/>
      <c r="C107" s="81"/>
      <c r="D107" s="82"/>
      <c r="E107" s="81"/>
      <c r="F107" s="127"/>
      <c r="G107" s="93"/>
      <c r="H107" s="122"/>
      <c r="I107" s="123"/>
      <c r="J107" s="124"/>
      <c r="K107" s="124"/>
      <c r="L107" s="125"/>
      <c r="M107" s="125"/>
      <c r="N107" s="126"/>
    </row>
    <row r="108" spans="1:14" x14ac:dyDescent="0.25">
      <c r="A108" s="81"/>
      <c r="B108" s="82"/>
      <c r="C108" s="81"/>
      <c r="D108" s="82"/>
      <c r="E108" s="81"/>
      <c r="F108" s="127"/>
      <c r="G108" s="93"/>
      <c r="H108" s="122"/>
      <c r="I108" s="123"/>
      <c r="J108" s="124"/>
      <c r="K108" s="124"/>
      <c r="L108" s="125"/>
      <c r="M108" s="125"/>
      <c r="N108" s="126"/>
    </row>
    <row r="109" spans="1:14" x14ac:dyDescent="0.25">
      <c r="A109" s="81"/>
      <c r="B109" s="82"/>
      <c r="C109" s="81"/>
      <c r="D109" s="82"/>
      <c r="E109" s="81"/>
      <c r="F109" s="127"/>
      <c r="G109" s="93"/>
      <c r="H109" s="122"/>
      <c r="I109" s="123"/>
      <c r="J109" s="124"/>
      <c r="K109" s="124"/>
      <c r="L109" s="125"/>
      <c r="M109" s="125"/>
      <c r="N109" s="126"/>
    </row>
    <row r="110" spans="1:14" x14ac:dyDescent="0.25">
      <c r="A110" s="81"/>
      <c r="B110" s="82"/>
      <c r="C110" s="81"/>
      <c r="D110" s="82"/>
      <c r="E110" s="81"/>
      <c r="F110" s="127"/>
      <c r="G110" s="93"/>
      <c r="H110" s="122"/>
      <c r="I110" s="123"/>
      <c r="J110" s="124"/>
      <c r="K110" s="124"/>
      <c r="L110" s="125"/>
      <c r="M110" s="125"/>
      <c r="N110" s="126"/>
    </row>
    <row r="111" spans="1:14" x14ac:dyDescent="0.25">
      <c r="A111" s="81"/>
      <c r="B111" s="82"/>
      <c r="C111" s="81"/>
      <c r="D111" s="82"/>
      <c r="E111" s="81"/>
      <c r="F111" s="127"/>
      <c r="G111" s="93"/>
      <c r="H111" s="122"/>
      <c r="I111" s="123"/>
      <c r="J111" s="124"/>
      <c r="K111" s="124"/>
      <c r="L111" s="125"/>
      <c r="M111" s="125"/>
      <c r="N111" s="126"/>
    </row>
    <row r="112" spans="1:14" x14ac:dyDescent="0.25">
      <c r="A112" s="81"/>
      <c r="B112" s="82"/>
      <c r="C112" s="81"/>
      <c r="D112" s="82"/>
      <c r="E112" s="81"/>
      <c r="F112" s="127"/>
      <c r="G112" s="93"/>
      <c r="H112" s="122"/>
      <c r="I112" s="123"/>
      <c r="J112" s="124"/>
      <c r="K112" s="124"/>
      <c r="L112" s="125"/>
      <c r="M112" s="125"/>
      <c r="N112" s="126"/>
    </row>
    <row r="113" ht="19.5" customHeight="1" spans="1:14" x14ac:dyDescent="0.25">
      <c r="A113" s="81"/>
      <c r="B113" s="82"/>
      <c r="C113" s="81"/>
      <c r="D113" s="82"/>
      <c r="E113" s="81"/>
      <c r="F113" s="127" t="s">
        <v>62</v>
      </c>
      <c r="G113" s="93"/>
      <c r="H113" s="122"/>
      <c r="I113" s="123"/>
      <c r="J113" s="124"/>
      <c r="K113" s="124"/>
      <c r="L113" s="125"/>
      <c r="M113" s="125"/>
      <c r="N113" s="126"/>
    </row>
    <row r="114" ht="19.5" customHeight="1" spans="1:14" x14ac:dyDescent="0.25">
      <c r="A114" s="81"/>
      <c r="B114" s="82"/>
      <c r="C114" s="81"/>
      <c r="D114" s="82"/>
      <c r="E114" s="81"/>
      <c r="F114" s="134"/>
      <c r="G114" s="135">
        <f>SUM(G2:G88)</f>
        <v>0</v>
      </c>
      <c r="H114" s="135">
        <f t="shared" ref="H114:N114" si="0">SUM(H3:H88)</f>
        <v>0</v>
      </c>
      <c r="I114" s="135">
        <f t="shared" si="0"/>
        <v>0</v>
      </c>
      <c r="J114" s="135">
        <f t="shared" si="0"/>
        <v>0</v>
      </c>
      <c r="K114" s="135">
        <f t="shared" si="0"/>
        <v>0</v>
      </c>
      <c r="L114" s="135">
        <f t="shared" si="0"/>
        <v>0</v>
      </c>
      <c r="M114" s="135">
        <f t="shared" si="0"/>
        <v>0</v>
      </c>
      <c r="N114" s="136">
        <f t="shared" si="0"/>
        <v>0</v>
      </c>
    </row>
    <row r="115" ht="19.5" customHeight="1" spans="1:5" x14ac:dyDescent="0.25">
      <c r="A115" s="137" t="s">
        <v>33</v>
      </c>
      <c r="B115" s="138"/>
      <c r="C115" s="138"/>
      <c r="D115" s="138"/>
      <c r="E115" s="138"/>
    </row>
  </sheetData>
  <autoFilter ref="A1:N73"/>
  <mergeCells count="228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75:B75"/>
    <mergeCell ref="C75:D75"/>
    <mergeCell ref="A76:B76"/>
    <mergeCell ref="C76:D76"/>
    <mergeCell ref="A77:B77"/>
    <mergeCell ref="C77:D77"/>
    <mergeCell ref="A78:B78"/>
    <mergeCell ref="C78:D78"/>
    <mergeCell ref="A79:B79"/>
    <mergeCell ref="C79:D79"/>
    <mergeCell ref="A80:B80"/>
    <mergeCell ref="C80:D80"/>
    <mergeCell ref="A81:B81"/>
    <mergeCell ref="C81:D81"/>
    <mergeCell ref="A82:B82"/>
    <mergeCell ref="C82:D82"/>
    <mergeCell ref="A83:B83"/>
    <mergeCell ref="C83:D83"/>
    <mergeCell ref="A84:B84"/>
    <mergeCell ref="C84:D84"/>
    <mergeCell ref="A85:B85"/>
    <mergeCell ref="C85:D85"/>
    <mergeCell ref="A86:B86"/>
    <mergeCell ref="C86:D86"/>
    <mergeCell ref="A87:B87"/>
    <mergeCell ref="C87:D87"/>
    <mergeCell ref="A88:B88"/>
    <mergeCell ref="C88:D88"/>
    <mergeCell ref="A89:B89"/>
    <mergeCell ref="C89:D89"/>
    <mergeCell ref="A90:B90"/>
    <mergeCell ref="C90:D90"/>
    <mergeCell ref="A91:B91"/>
    <mergeCell ref="C91:D91"/>
    <mergeCell ref="A92:B92"/>
    <mergeCell ref="C92:D92"/>
    <mergeCell ref="A93:B93"/>
    <mergeCell ref="C93:D93"/>
    <mergeCell ref="A94:B94"/>
    <mergeCell ref="C94:D94"/>
    <mergeCell ref="A95:B95"/>
    <mergeCell ref="C95:D95"/>
    <mergeCell ref="A96:B96"/>
    <mergeCell ref="C96:D96"/>
    <mergeCell ref="A97:B97"/>
    <mergeCell ref="C97:D97"/>
    <mergeCell ref="A98:B98"/>
    <mergeCell ref="C98:D98"/>
    <mergeCell ref="A99:B99"/>
    <mergeCell ref="C99:D99"/>
    <mergeCell ref="A100:B100"/>
    <mergeCell ref="C100:D100"/>
    <mergeCell ref="A101:B101"/>
    <mergeCell ref="C101:D101"/>
    <mergeCell ref="A102:B102"/>
    <mergeCell ref="C102:D102"/>
    <mergeCell ref="A103:B103"/>
    <mergeCell ref="C103:D103"/>
    <mergeCell ref="A104:B104"/>
    <mergeCell ref="C104:D104"/>
    <mergeCell ref="A105:B105"/>
    <mergeCell ref="C105:D105"/>
    <mergeCell ref="A106:B106"/>
    <mergeCell ref="C106:D106"/>
    <mergeCell ref="A107:B107"/>
    <mergeCell ref="C107:D107"/>
    <mergeCell ref="A108:B108"/>
    <mergeCell ref="C108:D108"/>
    <mergeCell ref="A109:B109"/>
    <mergeCell ref="C109:D109"/>
    <mergeCell ref="A110:B110"/>
    <mergeCell ref="C110:D110"/>
    <mergeCell ref="A111:B111"/>
    <mergeCell ref="C111:D111"/>
    <mergeCell ref="A112:B112"/>
    <mergeCell ref="C112:D112"/>
    <mergeCell ref="A113:B113"/>
    <mergeCell ref="C113:D113"/>
    <mergeCell ref="A114:B114"/>
    <mergeCell ref="C114:D114"/>
  </mergeCells>
  <pageMargins left="0.25" right="0.25" top="0.75" bottom="0.75" header="0.3" footer="0.3"/>
  <pageSetup paperSize="9" orientation="landscape" horizontalDpi="0" verticalDpi="0" scale="5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V65"/>
  <sheetViews>
    <sheetView workbookViewId="0" zoomScale="80" zoomScaleNormal="80">
      <selection activeCell="A2" sqref="A2"/>
    </sheetView>
  </sheetViews>
  <sheetFormatPr defaultRowHeight="18.75" outlineLevelRow="0" outlineLevelCol="0" x14ac:dyDescent="0.4" defaultColWidth="8.75" customHeight="1"/>
  <cols>
    <col min="1" max="1" width="9.75" style="1" customWidth="1"/>
    <col min="2" max="2" width="6.5" style="1" customWidth="1"/>
    <col min="3" max="3" width="8.125" style="1" customWidth="1"/>
    <col min="4" max="5" width="10.25" style="1" customWidth="1"/>
    <col min="6" max="6" width="11.875" style="1" customWidth="1"/>
    <col min="7" max="7" width="12.75" style="1" customWidth="1"/>
    <col min="8" max="8" width="13" style="1" customWidth="1"/>
    <col min="9" max="9" width="12.5" style="1" customWidth="1"/>
    <col min="10" max="10" width="12.375" style="1" customWidth="1"/>
    <col min="11" max="12" width="11.875" style="1" customWidth="1"/>
    <col min="13" max="15" width="12.5" style="1" customWidth="1"/>
    <col min="16" max="23" width="8.75" style="1" customWidth="1"/>
    <col min="24" max="24" width="8.875" style="1" customWidth="1"/>
    <col min="25" max="16384" width="8.75" style="1" customWidth="1"/>
  </cols>
  <sheetData>
    <row r="1" ht="19.5" customHeight="1" spans="1:74" x14ac:dyDescent="0.25">
      <c r="A1" s="109" t="s">
        <v>36</v>
      </c>
      <c r="B1" s="139"/>
      <c r="C1" s="140" t="s">
        <v>37</v>
      </c>
      <c r="D1" s="139"/>
      <c r="E1" s="139" t="s">
        <v>38</v>
      </c>
      <c r="F1" s="139" t="s">
        <v>57</v>
      </c>
      <c r="G1" s="141" t="s">
        <v>5</v>
      </c>
      <c r="H1" s="114" t="s">
        <v>9</v>
      </c>
      <c r="I1" s="113" t="s">
        <v>58</v>
      </c>
      <c r="J1" s="113" t="s">
        <v>27</v>
      </c>
      <c r="K1" s="113" t="s">
        <v>59</v>
      </c>
      <c r="L1" s="113" t="s">
        <v>60</v>
      </c>
      <c r="M1" s="114" t="s">
        <v>47</v>
      </c>
      <c r="N1" s="115" t="s">
        <v>61</v>
      </c>
      <c r="O1" s="108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16"/>
      <c r="AS1" s="116"/>
      <c r="AT1" s="116"/>
      <c r="AU1" s="116"/>
      <c r="AV1" s="116"/>
      <c r="AW1" s="116"/>
      <c r="AX1" s="116"/>
      <c r="AY1" s="116"/>
      <c r="AZ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16"/>
      <c r="BS1" s="116"/>
      <c r="BT1" s="116"/>
      <c r="BU1" s="116"/>
      <c r="BV1" s="116"/>
    </row>
    <row r="2" spans="1:74" x14ac:dyDescent="0.25">
      <c r="A2" s="81"/>
      <c r="B2" s="82"/>
      <c r="C2" s="81"/>
      <c r="D2" s="82"/>
      <c r="E2" s="81"/>
      <c r="F2" s="83"/>
      <c r="G2" s="81"/>
      <c r="H2" s="129"/>
      <c r="I2" s="130"/>
      <c r="J2" s="130"/>
      <c r="K2" s="130"/>
      <c r="L2" s="123"/>
      <c r="M2" s="130"/>
      <c r="N2" s="128"/>
      <c r="O2" s="108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6"/>
      <c r="AP2" s="116"/>
      <c r="AQ2" s="116"/>
      <c r="AR2" s="116"/>
      <c r="AS2" s="116"/>
      <c r="AT2" s="116"/>
      <c r="AU2" s="116"/>
      <c r="AV2" s="116"/>
      <c r="AW2" s="116"/>
      <c r="AX2" s="116"/>
      <c r="AY2" s="116"/>
      <c r="AZ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16"/>
      <c r="BS2" s="116"/>
      <c r="BT2" s="116"/>
      <c r="BU2" s="116"/>
      <c r="BV2" s="116"/>
    </row>
    <row r="3" ht="17.65" customHeight="1" spans="1:73" s="108" customFormat="1" x14ac:dyDescent="0.25">
      <c r="A3" s="81"/>
      <c r="B3" s="82"/>
      <c r="C3" s="81"/>
      <c r="D3" s="82"/>
      <c r="E3" s="81"/>
      <c r="F3" s="94"/>
      <c r="G3" s="94"/>
      <c r="H3" s="103"/>
      <c r="I3" s="142"/>
      <c r="J3" s="142"/>
      <c r="K3" s="142"/>
      <c r="L3" s="143"/>
      <c r="M3" s="142"/>
      <c r="N3" s="128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44"/>
      <c r="AO3" s="144"/>
      <c r="AP3" s="144"/>
      <c r="AQ3" s="144"/>
      <c r="AR3" s="144"/>
      <c r="AS3" s="144"/>
      <c r="AT3" s="144"/>
      <c r="AU3" s="144"/>
      <c r="AV3" s="144"/>
      <c r="AW3" s="144"/>
      <c r="AX3" s="144"/>
      <c r="AY3" s="144"/>
      <c r="AZ3" s="144"/>
      <c r="BA3" s="144"/>
      <c r="BB3" s="144"/>
      <c r="BC3" s="144"/>
      <c r="BD3" s="144"/>
      <c r="BE3" s="144"/>
      <c r="BF3" s="144"/>
      <c r="BG3" s="144"/>
      <c r="BH3" s="144"/>
      <c r="BI3" s="144"/>
      <c r="BJ3" s="144"/>
      <c r="BK3" s="144"/>
      <c r="BL3" s="144"/>
      <c r="BM3" s="144"/>
      <c r="BN3" s="144"/>
      <c r="BO3" s="144"/>
      <c r="BP3" s="144"/>
      <c r="BQ3" s="144"/>
      <c r="BR3" s="144"/>
      <c r="BS3" s="144"/>
      <c r="BT3" s="144"/>
      <c r="BU3" s="144"/>
    </row>
    <row r="4" ht="17.65" customHeight="1" spans="1:73" s="108" customFormat="1" x14ac:dyDescent="0.25">
      <c r="A4" s="81"/>
      <c r="B4" s="82"/>
      <c r="C4" s="81"/>
      <c r="D4" s="82"/>
      <c r="E4" s="81"/>
      <c r="F4" s="102"/>
      <c r="G4" s="104"/>
      <c r="H4" s="103"/>
      <c r="I4" s="142"/>
      <c r="J4" s="142"/>
      <c r="K4" s="142"/>
      <c r="L4" s="143"/>
      <c r="M4" s="130"/>
      <c r="N4" s="128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4"/>
      <c r="AO4" s="144"/>
      <c r="AP4" s="144"/>
      <c r="AQ4" s="144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4"/>
      <c r="BL4" s="144"/>
      <c r="BM4" s="144"/>
      <c r="BN4" s="144"/>
      <c r="BO4" s="144"/>
      <c r="BP4" s="144"/>
      <c r="BQ4" s="144"/>
      <c r="BR4" s="144"/>
      <c r="BS4" s="144"/>
      <c r="BT4" s="144"/>
      <c r="BU4" s="144"/>
    </row>
    <row r="5" ht="17.65" customHeight="1" spans="1:73" s="108" customFormat="1" x14ac:dyDescent="0.25">
      <c r="A5" s="81"/>
      <c r="B5" s="82"/>
      <c r="C5" s="81"/>
      <c r="D5" s="82"/>
      <c r="E5" s="81"/>
      <c r="F5" s="82"/>
      <c r="G5" s="117"/>
      <c r="H5" s="129"/>
      <c r="I5" s="130"/>
      <c r="J5" s="130"/>
      <c r="K5" s="130"/>
      <c r="L5" s="123"/>
      <c r="M5" s="130"/>
      <c r="N5" s="128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/>
      <c r="AN5" s="144"/>
      <c r="AO5" s="144"/>
      <c r="AP5" s="144"/>
      <c r="AQ5" s="144"/>
      <c r="AR5" s="144"/>
      <c r="AS5" s="144"/>
      <c r="AT5" s="144"/>
      <c r="AU5" s="144"/>
      <c r="AV5" s="144"/>
      <c r="AW5" s="144"/>
      <c r="AX5" s="144"/>
      <c r="AY5" s="144"/>
      <c r="AZ5" s="144"/>
      <c r="BA5" s="144"/>
      <c r="BB5" s="144"/>
      <c r="BC5" s="144"/>
      <c r="BD5" s="144"/>
      <c r="BE5" s="144"/>
      <c r="BF5" s="144"/>
      <c r="BG5" s="144"/>
      <c r="BH5" s="144"/>
      <c r="BI5" s="144"/>
      <c r="BJ5" s="144"/>
      <c r="BK5" s="144"/>
      <c r="BL5" s="144"/>
      <c r="BM5" s="144"/>
      <c r="BN5" s="144"/>
      <c r="BO5" s="144"/>
      <c r="BP5" s="144"/>
      <c r="BQ5" s="144"/>
      <c r="BR5" s="144"/>
      <c r="BS5" s="144"/>
      <c r="BT5" s="144"/>
      <c r="BU5" s="144"/>
    </row>
    <row r="6" ht="17.25" customHeight="1" spans="1:25" s="108" customFormat="1" x14ac:dyDescent="0.25">
      <c r="A6" s="81"/>
      <c r="B6" s="82"/>
      <c r="C6" s="81"/>
      <c r="D6" s="82"/>
      <c r="E6" s="81"/>
      <c r="F6" s="127"/>
      <c r="G6" s="93"/>
      <c r="H6" s="122"/>
      <c r="I6" s="123"/>
      <c r="J6" s="124"/>
      <c r="K6" s="124"/>
      <c r="L6" s="125"/>
      <c r="M6" s="125"/>
      <c r="N6" s="126"/>
      <c r="O6" s="100"/>
      <c r="P6" s="86"/>
      <c r="Q6" s="116"/>
      <c r="R6" s="116"/>
      <c r="S6" s="116"/>
      <c r="T6" s="116"/>
      <c r="U6" s="116"/>
      <c r="V6" s="116"/>
      <c r="W6" s="116"/>
      <c r="X6" s="116"/>
      <c r="Y6" s="116"/>
    </row>
    <row r="7" ht="17.65" customHeight="1" spans="1:73" s="108" customFormat="1" x14ac:dyDescent="0.25">
      <c r="A7" s="81"/>
      <c r="B7" s="82"/>
      <c r="C7" s="81"/>
      <c r="D7" s="82"/>
      <c r="E7" s="81"/>
      <c r="F7" s="145"/>
      <c r="G7" s="94"/>
      <c r="H7" s="146"/>
      <c r="I7" s="143"/>
      <c r="J7" s="147"/>
      <c r="K7" s="147"/>
      <c r="L7" s="148"/>
      <c r="M7" s="124"/>
      <c r="N7" s="12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L7" s="144"/>
      <c r="AM7" s="144"/>
      <c r="AN7" s="144"/>
      <c r="AO7" s="144"/>
      <c r="AP7" s="144"/>
      <c r="AQ7" s="144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144"/>
      <c r="BE7" s="144"/>
      <c r="BF7" s="144"/>
      <c r="BG7" s="144"/>
      <c r="BH7" s="144"/>
      <c r="BI7" s="144"/>
      <c r="BJ7" s="144"/>
      <c r="BK7" s="144"/>
      <c r="BL7" s="144"/>
      <c r="BM7" s="144"/>
      <c r="BN7" s="144"/>
      <c r="BO7" s="144"/>
      <c r="BP7" s="144"/>
      <c r="BQ7" s="144"/>
      <c r="BR7" s="144"/>
      <c r="BS7" s="144"/>
      <c r="BT7" s="144"/>
      <c r="BU7" s="144"/>
    </row>
    <row r="8" ht="17.65" customHeight="1" spans="1:73" s="108" customFormat="1" x14ac:dyDescent="0.25">
      <c r="A8" s="81"/>
      <c r="B8" s="82"/>
      <c r="C8" s="81"/>
      <c r="D8" s="82"/>
      <c r="E8" s="81"/>
      <c r="F8" s="127"/>
      <c r="G8" s="93"/>
      <c r="H8" s="122"/>
      <c r="I8" s="123"/>
      <c r="J8" s="124"/>
      <c r="K8" s="124"/>
      <c r="L8" s="125"/>
      <c r="M8" s="124"/>
      <c r="N8" s="12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L8" s="144"/>
      <c r="AM8" s="144"/>
      <c r="AN8" s="144"/>
      <c r="AO8" s="144"/>
      <c r="AP8" s="144"/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4"/>
      <c r="BH8" s="144"/>
      <c r="BI8" s="144"/>
      <c r="BJ8" s="144"/>
      <c r="BK8" s="144"/>
      <c r="BL8" s="144"/>
      <c r="BM8" s="144"/>
      <c r="BN8" s="144"/>
      <c r="BO8" s="144"/>
      <c r="BP8" s="144"/>
      <c r="BQ8" s="144"/>
      <c r="BR8" s="144"/>
      <c r="BS8" s="144"/>
      <c r="BT8" s="144"/>
      <c r="BU8" s="144"/>
    </row>
    <row r="9" ht="17.65" customHeight="1" spans="1:73" s="108" customFormat="1" x14ac:dyDescent="0.25">
      <c r="A9" s="81"/>
      <c r="B9" s="82"/>
      <c r="C9" s="81"/>
      <c r="D9" s="82"/>
      <c r="E9" s="81"/>
      <c r="F9" s="82"/>
      <c r="G9" s="83"/>
      <c r="H9" s="129"/>
      <c r="I9" s="130"/>
      <c r="J9" s="130"/>
      <c r="K9" s="130"/>
      <c r="L9" s="123"/>
      <c r="M9" s="130"/>
      <c r="N9" s="128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144"/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L9" s="144"/>
      <c r="AM9" s="144"/>
      <c r="AN9" s="144"/>
      <c r="AO9" s="144"/>
      <c r="AP9" s="144"/>
      <c r="AQ9" s="144"/>
      <c r="AR9" s="144"/>
      <c r="AS9" s="144"/>
      <c r="AT9" s="144"/>
      <c r="AU9" s="144"/>
      <c r="AV9" s="144"/>
      <c r="AW9" s="144"/>
      <c r="AX9" s="144"/>
      <c r="AY9" s="144"/>
      <c r="AZ9" s="144"/>
      <c r="BA9" s="144"/>
      <c r="BB9" s="144"/>
      <c r="BC9" s="144"/>
      <c r="BD9" s="144"/>
      <c r="BE9" s="144"/>
      <c r="BF9" s="144"/>
      <c r="BG9" s="144"/>
      <c r="BH9" s="144"/>
      <c r="BI9" s="144"/>
      <c r="BJ9" s="144"/>
      <c r="BK9" s="144"/>
      <c r="BL9" s="144"/>
      <c r="BM9" s="144"/>
      <c r="BN9" s="144"/>
      <c r="BO9" s="144"/>
      <c r="BP9" s="144"/>
      <c r="BQ9" s="144"/>
      <c r="BR9" s="144"/>
      <c r="BS9" s="144"/>
      <c r="BT9" s="144"/>
      <c r="BU9" s="144"/>
    </row>
    <row r="10" ht="17.65" customHeight="1" spans="1:26" s="100" customFormat="1" x14ac:dyDescent="0.25">
      <c r="A10" s="81"/>
      <c r="B10" s="82"/>
      <c r="C10" s="81"/>
      <c r="D10" s="82"/>
      <c r="E10" s="81"/>
      <c r="F10" s="82"/>
      <c r="G10" s="83"/>
      <c r="H10" s="129"/>
      <c r="I10" s="130"/>
      <c r="J10" s="130"/>
      <c r="K10" s="130"/>
      <c r="L10" s="123"/>
      <c r="M10" s="130"/>
      <c r="N10" s="128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17.65" customHeight="1" spans="1:26" s="108" customFormat="1" x14ac:dyDescent="0.25">
      <c r="A11" s="81"/>
      <c r="B11" s="82"/>
      <c r="C11" s="81"/>
      <c r="D11" s="82"/>
      <c r="E11" s="81"/>
      <c r="F11" s="82"/>
      <c r="G11" s="83"/>
      <c r="H11" s="129"/>
      <c r="I11" s="130"/>
      <c r="J11" s="130"/>
      <c r="K11" s="130"/>
      <c r="L11" s="123"/>
      <c r="M11" s="130"/>
      <c r="N11" s="128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17.65" customHeight="1" spans="1:26" s="108" customFormat="1" x14ac:dyDescent="0.25">
      <c r="A12" s="81"/>
      <c r="B12" s="82"/>
      <c r="C12" s="103"/>
      <c r="D12" s="102"/>
      <c r="E12" s="97"/>
      <c r="F12" s="127"/>
      <c r="G12" s="93"/>
      <c r="H12" s="122"/>
      <c r="I12" s="123"/>
      <c r="J12" s="124"/>
      <c r="K12" s="124"/>
      <c r="L12" s="125"/>
      <c r="M12" s="130"/>
      <c r="N12" s="128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spans="1:16" x14ac:dyDescent="0.25">
      <c r="A13" s="81"/>
      <c r="B13" s="82"/>
      <c r="C13" s="103"/>
      <c r="D13" s="102"/>
      <c r="E13" s="81"/>
      <c r="F13" s="127"/>
      <c r="G13" s="93"/>
      <c r="H13" s="122"/>
      <c r="I13" s="123"/>
      <c r="J13" s="124"/>
      <c r="K13" s="124"/>
      <c r="L13" s="125"/>
      <c r="M13" s="125"/>
      <c r="N13" s="126"/>
      <c r="O13" s="100"/>
      <c r="P13" s="86"/>
    </row>
    <row r="14" spans="1:16" x14ac:dyDescent="0.25">
      <c r="A14" s="81"/>
      <c r="B14" s="82"/>
      <c r="C14" s="81"/>
      <c r="D14" s="82"/>
      <c r="E14" s="81"/>
      <c r="F14" s="127"/>
      <c r="G14" s="93"/>
      <c r="H14" s="122"/>
      <c r="I14" s="130"/>
      <c r="J14" s="124"/>
      <c r="K14" s="124"/>
      <c r="L14" s="125"/>
      <c r="M14" s="124"/>
      <c r="N14" s="126"/>
      <c r="O14" s="100"/>
      <c r="P14" s="86"/>
    </row>
    <row r="15" ht="17.65" customHeight="1" spans="1:26" s="100" customFormat="1" x14ac:dyDescent="0.25">
      <c r="A15" s="81"/>
      <c r="B15" s="82"/>
      <c r="C15" s="101"/>
      <c r="D15" s="102"/>
      <c r="E15" s="81"/>
      <c r="F15" s="83"/>
      <c r="G15" s="83"/>
      <c r="H15" s="122"/>
      <c r="I15" s="130"/>
      <c r="J15" s="130"/>
      <c r="K15" s="130"/>
      <c r="L15" s="125"/>
      <c r="M15" s="130"/>
      <c r="N15" s="128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ht="18.6" customHeight="1" spans="1:18" s="108" customFormat="1" x14ac:dyDescent="0.25">
      <c r="A16" s="101"/>
      <c r="B16" s="102"/>
      <c r="C16" s="101"/>
      <c r="D16" s="102"/>
      <c r="E16" s="81"/>
      <c r="F16" s="127"/>
      <c r="G16" s="93"/>
      <c r="H16" s="122"/>
      <c r="I16" s="123"/>
      <c r="J16" s="124"/>
      <c r="K16" s="124"/>
      <c r="L16" s="125"/>
      <c r="M16" s="125"/>
      <c r="N16" s="126"/>
      <c r="Q16" s="86"/>
      <c r="R16" s="116"/>
    </row>
    <row r="17" ht="17.45" customHeight="1" spans="1:18" s="108" customFormat="1" x14ac:dyDescent="0.25">
      <c r="A17" s="81"/>
      <c r="B17" s="82"/>
      <c r="C17" s="81"/>
      <c r="D17" s="82"/>
      <c r="E17" s="81"/>
      <c r="F17" s="82"/>
      <c r="G17" s="83"/>
      <c r="H17" s="129"/>
      <c r="I17" s="130"/>
      <c r="J17" s="130"/>
      <c r="K17" s="130"/>
      <c r="L17" s="123"/>
      <c r="M17" s="130"/>
      <c r="N17" s="128"/>
      <c r="Q17" s="86"/>
      <c r="R17" s="116"/>
    </row>
    <row r="18" ht="17.65" customHeight="1" spans="1:18" s="108" customFormat="1" x14ac:dyDescent="0.25">
      <c r="A18" s="81"/>
      <c r="B18" s="82"/>
      <c r="C18" s="81"/>
      <c r="D18" s="82"/>
      <c r="E18" s="81"/>
      <c r="F18" s="83"/>
      <c r="G18" s="83"/>
      <c r="H18" s="129"/>
      <c r="I18" s="130"/>
      <c r="J18" s="130"/>
      <c r="K18" s="130"/>
      <c r="L18" s="123"/>
      <c r="M18" s="130"/>
      <c r="N18" s="128"/>
      <c r="Q18" s="86"/>
      <c r="R18" s="116"/>
    </row>
    <row r="19" ht="17.65" customHeight="1" spans="1:18" s="108" customFormat="1" x14ac:dyDescent="0.25">
      <c r="A19" s="81"/>
      <c r="B19" s="82"/>
      <c r="C19" s="81"/>
      <c r="D19" s="82"/>
      <c r="E19" s="81"/>
      <c r="F19" s="82"/>
      <c r="G19" s="83"/>
      <c r="H19" s="129"/>
      <c r="I19" s="130"/>
      <c r="J19" s="130"/>
      <c r="K19" s="130"/>
      <c r="L19" s="123"/>
      <c r="M19" s="130"/>
      <c r="N19" s="128"/>
      <c r="Q19" s="86"/>
      <c r="R19" s="116"/>
    </row>
    <row r="20" ht="17.65" customHeight="1" spans="1:18" s="108" customFormat="1" x14ac:dyDescent="0.25">
      <c r="A20" s="81"/>
      <c r="B20" s="82"/>
      <c r="C20" s="81"/>
      <c r="D20" s="82"/>
      <c r="E20" s="81"/>
      <c r="F20" s="82"/>
      <c r="G20" s="83"/>
      <c r="H20" s="129"/>
      <c r="I20" s="130"/>
      <c r="J20" s="130"/>
      <c r="K20" s="130"/>
      <c r="L20" s="123"/>
      <c r="M20" s="130"/>
      <c r="N20" s="128"/>
      <c r="Q20" s="116"/>
      <c r="R20" s="116"/>
    </row>
    <row r="21" ht="17.65" customHeight="1" spans="1:18" s="108" customFormat="1" x14ac:dyDescent="0.25">
      <c r="A21" s="81"/>
      <c r="B21" s="82"/>
      <c r="C21" s="81"/>
      <c r="D21" s="82"/>
      <c r="E21" s="81"/>
      <c r="F21" s="83"/>
      <c r="G21" s="83"/>
      <c r="H21" s="129"/>
      <c r="I21" s="130"/>
      <c r="J21" s="130"/>
      <c r="K21" s="130"/>
      <c r="L21" s="123"/>
      <c r="M21" s="130"/>
      <c r="N21" s="128"/>
      <c r="Q21" s="116"/>
      <c r="R21" s="116"/>
    </row>
    <row r="22" ht="17.65" customHeight="1" spans="1:14" s="108" customFormat="1" x14ac:dyDescent="0.25">
      <c r="A22" s="81"/>
      <c r="B22" s="82"/>
      <c r="C22" s="81"/>
      <c r="D22" s="82"/>
      <c r="E22" s="81"/>
      <c r="F22" s="127"/>
      <c r="G22" s="93"/>
      <c r="H22" s="122"/>
      <c r="I22" s="123"/>
      <c r="J22" s="124"/>
      <c r="K22" s="124"/>
      <c r="L22" s="125"/>
      <c r="M22" s="125"/>
      <c r="N22" s="126"/>
    </row>
    <row r="23" spans="1:18" s="108" customFormat="1" x14ac:dyDescent="0.25">
      <c r="A23" s="81"/>
      <c r="B23" s="82"/>
      <c r="C23" s="81"/>
      <c r="D23" s="82"/>
      <c r="E23" s="81"/>
      <c r="F23" s="82"/>
      <c r="G23" s="83"/>
      <c r="H23" s="129"/>
      <c r="I23" s="130"/>
      <c r="J23" s="130"/>
      <c r="K23" s="130"/>
      <c r="L23" s="123"/>
      <c r="M23" s="130"/>
      <c r="N23" s="128"/>
      <c r="Q23" s="116"/>
      <c r="R23" s="116"/>
    </row>
    <row r="24" spans="1:18" s="108" customFormat="1" x14ac:dyDescent="0.25">
      <c r="A24" s="81"/>
      <c r="B24" s="82"/>
      <c r="C24" s="81"/>
      <c r="D24" s="82"/>
      <c r="E24" s="81"/>
      <c r="F24" s="82"/>
      <c r="G24" s="83"/>
      <c r="H24" s="129"/>
      <c r="I24" s="130"/>
      <c r="J24" s="130"/>
      <c r="K24" s="130"/>
      <c r="L24" s="83"/>
      <c r="M24" s="130"/>
      <c r="N24" s="128"/>
      <c r="Q24" s="116"/>
      <c r="R24" s="116"/>
    </row>
    <row r="25" ht="17.65" customHeight="1" spans="1:18" s="108" customFormat="1" x14ac:dyDescent="0.25">
      <c r="A25" s="81"/>
      <c r="B25" s="82"/>
      <c r="C25" s="81"/>
      <c r="D25" s="82"/>
      <c r="E25" s="81"/>
      <c r="F25" s="82"/>
      <c r="G25" s="83"/>
      <c r="H25" s="129"/>
      <c r="I25" s="130"/>
      <c r="J25" s="130"/>
      <c r="K25" s="130"/>
      <c r="L25" s="83"/>
      <c r="M25" s="130"/>
      <c r="N25" s="128"/>
      <c r="Q25" s="100"/>
      <c r="R25" s="149"/>
    </row>
    <row r="26" spans="1:16" x14ac:dyDescent="0.25">
      <c r="A26" s="81"/>
      <c r="B26" s="82"/>
      <c r="C26" s="81"/>
      <c r="D26" s="82"/>
      <c r="E26" s="81"/>
      <c r="F26" s="127"/>
      <c r="G26" s="93"/>
      <c r="H26" s="122"/>
      <c r="I26" s="123"/>
      <c r="J26" s="124"/>
      <c r="K26" s="124"/>
      <c r="L26" s="125"/>
      <c r="M26" s="125"/>
      <c r="N26" s="126"/>
      <c r="O26" s="100"/>
      <c r="P26" s="86"/>
    </row>
    <row r="27" spans="1:14" s="87" customFormat="1" x14ac:dyDescent="0.25">
      <c r="A27" s="81"/>
      <c r="B27" s="82"/>
      <c r="C27" s="81"/>
      <c r="D27" s="82"/>
      <c r="E27" s="81"/>
      <c r="F27" s="95"/>
      <c r="G27" s="83"/>
      <c r="H27" s="150"/>
      <c r="I27" s="151"/>
      <c r="J27" s="151"/>
      <c r="K27" s="151"/>
      <c r="L27" s="123"/>
      <c r="M27" s="151"/>
      <c r="N27" s="152"/>
    </row>
    <row r="28" spans="1:14" x14ac:dyDescent="0.25">
      <c r="A28" s="81"/>
      <c r="B28" s="82"/>
      <c r="C28" s="81"/>
      <c r="D28" s="82"/>
      <c r="E28" s="81"/>
      <c r="F28" s="83"/>
      <c r="G28" s="83"/>
      <c r="H28" s="129"/>
      <c r="I28" s="130"/>
      <c r="J28" s="130"/>
      <c r="K28" s="130"/>
      <c r="L28" s="123"/>
      <c r="M28" s="130"/>
      <c r="N28" s="128"/>
    </row>
    <row r="29" spans="1:14" x14ac:dyDescent="0.25">
      <c r="A29" s="133"/>
      <c r="B29" s="128"/>
      <c r="C29" s="81"/>
      <c r="D29" s="82"/>
      <c r="E29" s="81"/>
      <c r="F29" s="83"/>
      <c r="G29" s="83"/>
      <c r="H29" s="129"/>
      <c r="I29" s="130"/>
      <c r="J29" s="130"/>
      <c r="K29" s="130"/>
      <c r="L29" s="123"/>
      <c r="M29" s="130"/>
      <c r="N29" s="128"/>
    </row>
    <row r="30" spans="1:14" x14ac:dyDescent="0.25">
      <c r="A30" s="133"/>
      <c r="B30" s="128"/>
      <c r="C30" s="81"/>
      <c r="D30" s="82"/>
      <c r="E30" s="81"/>
      <c r="F30" s="83"/>
      <c r="G30" s="83"/>
      <c r="H30" s="129"/>
      <c r="I30" s="130"/>
      <c r="J30" s="130"/>
      <c r="K30" s="130"/>
      <c r="L30" s="123"/>
      <c r="M30" s="130"/>
      <c r="N30" s="128"/>
    </row>
    <row r="31" spans="1:14" x14ac:dyDescent="0.25">
      <c r="A31" s="81"/>
      <c r="B31" s="82"/>
      <c r="C31" s="103"/>
      <c r="D31" s="102"/>
      <c r="E31" s="81"/>
      <c r="F31" s="83"/>
      <c r="G31" s="83"/>
      <c r="H31" s="129"/>
      <c r="I31" s="130"/>
      <c r="J31" s="130"/>
      <c r="K31" s="130"/>
      <c r="L31" s="123"/>
      <c r="M31" s="130"/>
      <c r="N31" s="128"/>
    </row>
    <row r="32" spans="1:14" x14ac:dyDescent="0.25">
      <c r="A32" s="81"/>
      <c r="B32" s="82"/>
      <c r="C32" s="103"/>
      <c r="D32" s="102"/>
      <c r="E32" s="81"/>
      <c r="F32" s="83"/>
      <c r="G32" s="83"/>
      <c r="H32" s="129"/>
      <c r="I32" s="130"/>
      <c r="J32" s="130"/>
      <c r="K32" s="130"/>
      <c r="L32" s="123"/>
      <c r="M32" s="130"/>
      <c r="N32" s="128"/>
    </row>
    <row r="33" spans="1:14" x14ac:dyDescent="0.25">
      <c r="A33" s="101"/>
      <c r="B33" s="102"/>
      <c r="C33" s="101"/>
      <c r="D33" s="102"/>
      <c r="E33" s="104"/>
      <c r="F33" s="83"/>
      <c r="G33" s="83"/>
      <c r="H33" s="129"/>
      <c r="I33" s="130"/>
      <c r="J33" s="130"/>
      <c r="K33" s="130"/>
      <c r="L33" s="123"/>
      <c r="M33" s="130"/>
      <c r="N33" s="128"/>
    </row>
    <row r="34" spans="1:14" x14ac:dyDescent="0.25">
      <c r="A34" s="101"/>
      <c r="B34" s="102"/>
      <c r="C34" s="103"/>
      <c r="D34" s="102"/>
      <c r="E34" s="104"/>
      <c r="F34" s="83"/>
      <c r="G34" s="83"/>
      <c r="H34" s="129"/>
      <c r="I34" s="130"/>
      <c r="J34" s="130"/>
      <c r="K34" s="130"/>
      <c r="L34" s="123"/>
      <c r="M34" s="130"/>
      <c r="N34" s="128"/>
    </row>
    <row r="35" spans="1:14" x14ac:dyDescent="0.25">
      <c r="A35" s="101"/>
      <c r="B35" s="102"/>
      <c r="C35" s="103"/>
      <c r="D35" s="102"/>
      <c r="E35" s="104"/>
      <c r="F35" s="83"/>
      <c r="G35" s="83"/>
      <c r="H35" s="129"/>
      <c r="I35" s="130"/>
      <c r="J35" s="130"/>
      <c r="K35" s="130"/>
      <c r="L35" s="123"/>
      <c r="M35" s="130"/>
      <c r="N35" s="128"/>
    </row>
    <row r="36" spans="1:14" x14ac:dyDescent="0.25">
      <c r="A36" s="101"/>
      <c r="B36" s="102"/>
      <c r="C36" s="103"/>
      <c r="D36" s="102"/>
      <c r="E36" s="104"/>
      <c r="F36" s="83"/>
      <c r="G36" s="83"/>
      <c r="H36" s="129"/>
      <c r="I36" s="130"/>
      <c r="J36" s="130"/>
      <c r="K36" s="130"/>
      <c r="L36" s="123"/>
      <c r="M36" s="130"/>
      <c r="N36" s="128"/>
    </row>
    <row r="37" spans="1:14" x14ac:dyDescent="0.25">
      <c r="A37" s="81"/>
      <c r="B37" s="82"/>
      <c r="C37" s="81"/>
      <c r="D37" s="82"/>
      <c r="E37" s="81"/>
      <c r="F37" s="83"/>
      <c r="G37" s="83"/>
      <c r="H37" s="129"/>
      <c r="I37" s="130"/>
      <c r="J37" s="130"/>
      <c r="K37" s="130"/>
      <c r="L37" s="123"/>
      <c r="M37" s="130"/>
      <c r="N37" s="128"/>
    </row>
    <row r="38" spans="1:14" x14ac:dyDescent="0.25">
      <c r="A38" s="81"/>
      <c r="B38" s="82"/>
      <c r="C38" s="81"/>
      <c r="D38" s="82"/>
      <c r="E38" s="81"/>
      <c r="F38" s="83"/>
      <c r="G38" s="83"/>
      <c r="H38" s="129"/>
      <c r="I38" s="130"/>
      <c r="J38" s="130"/>
      <c r="K38" s="130"/>
      <c r="L38" s="123"/>
      <c r="M38" s="130"/>
      <c r="N38" s="128"/>
    </row>
    <row r="39" spans="1:14" x14ac:dyDescent="0.25">
      <c r="A39" s="81"/>
      <c r="B39" s="82"/>
      <c r="C39" s="81"/>
      <c r="D39" s="82"/>
      <c r="E39" s="81"/>
      <c r="F39" s="83"/>
      <c r="G39" s="83"/>
      <c r="H39" s="129"/>
      <c r="I39" s="130"/>
      <c r="J39" s="130"/>
      <c r="K39" s="130"/>
      <c r="L39" s="123"/>
      <c r="M39" s="130"/>
      <c r="N39" s="128"/>
    </row>
    <row r="40" spans="1:14" x14ac:dyDescent="0.25">
      <c r="A40" s="81"/>
      <c r="B40" s="82"/>
      <c r="C40" s="81"/>
      <c r="D40" s="82"/>
      <c r="E40" s="81"/>
      <c r="F40" s="127"/>
      <c r="G40" s="93"/>
      <c r="H40" s="129"/>
      <c r="I40" s="130"/>
      <c r="J40" s="130"/>
      <c r="K40" s="130"/>
      <c r="L40" s="123"/>
      <c r="M40" s="130"/>
      <c r="N40" s="128"/>
    </row>
    <row r="41" spans="1:14" x14ac:dyDescent="0.25">
      <c r="A41" s="81"/>
      <c r="B41" s="82"/>
      <c r="C41" s="81"/>
      <c r="D41" s="82"/>
      <c r="E41" s="81"/>
      <c r="F41" s="83"/>
      <c r="G41" s="83"/>
      <c r="H41" s="129"/>
      <c r="I41" s="130"/>
      <c r="J41" s="130"/>
      <c r="K41" s="130"/>
      <c r="L41" s="123"/>
      <c r="M41" s="130"/>
      <c r="N41" s="128"/>
    </row>
    <row r="42" spans="1:14" x14ac:dyDescent="0.25">
      <c r="A42" s="81"/>
      <c r="B42" s="82"/>
      <c r="C42" s="81"/>
      <c r="D42" s="82"/>
      <c r="E42" s="81"/>
      <c r="F42" s="83"/>
      <c r="G42" s="83"/>
      <c r="H42" s="129"/>
      <c r="I42" s="130"/>
      <c r="J42" s="130"/>
      <c r="K42" s="130"/>
      <c r="L42" s="123"/>
      <c r="M42" s="130"/>
      <c r="N42" s="128"/>
    </row>
    <row r="43" spans="1:14" x14ac:dyDescent="0.25">
      <c r="A43" s="81"/>
      <c r="B43" s="82"/>
      <c r="C43" s="81"/>
      <c r="D43" s="82"/>
      <c r="E43" s="81"/>
      <c r="F43" s="83"/>
      <c r="G43" s="83"/>
      <c r="H43" s="129"/>
      <c r="I43" s="130"/>
      <c r="J43" s="130"/>
      <c r="K43" s="130"/>
      <c r="L43" s="123"/>
      <c r="M43" s="130"/>
      <c r="N43" s="128"/>
    </row>
    <row r="44" spans="1:14" x14ac:dyDescent="0.25">
      <c r="A44" s="81"/>
      <c r="B44" s="129"/>
      <c r="C44" s="81"/>
      <c r="D44" s="82"/>
      <c r="E44" s="82"/>
      <c r="F44" s="83"/>
      <c r="G44" s="83"/>
      <c r="H44" s="129"/>
      <c r="I44" s="130"/>
      <c r="J44" s="130"/>
      <c r="K44" s="130"/>
      <c r="L44" s="123"/>
      <c r="M44" s="130"/>
      <c r="N44" s="128"/>
    </row>
    <row r="45" spans="1:14" x14ac:dyDescent="0.25">
      <c r="A45" s="81"/>
      <c r="B45" s="82"/>
      <c r="C45" s="81"/>
      <c r="D45" s="82"/>
      <c r="E45" s="81"/>
      <c r="F45" s="83"/>
      <c r="G45" s="83"/>
      <c r="H45" s="129"/>
      <c r="I45" s="130"/>
      <c r="J45" s="130"/>
      <c r="K45" s="130"/>
      <c r="L45" s="123"/>
      <c r="M45" s="130"/>
      <c r="N45" s="128"/>
    </row>
    <row r="46" spans="1:14" x14ac:dyDescent="0.25">
      <c r="A46" s="81"/>
      <c r="B46" s="82"/>
      <c r="C46" s="81"/>
      <c r="D46" s="82"/>
      <c r="E46" s="81"/>
      <c r="F46" s="83"/>
      <c r="G46" s="83"/>
      <c r="H46" s="129"/>
      <c r="I46" s="130"/>
      <c r="J46" s="130"/>
      <c r="K46" s="130"/>
      <c r="L46" s="123"/>
      <c r="M46" s="130"/>
      <c r="N46" s="128"/>
    </row>
    <row r="47" spans="1:14" x14ac:dyDescent="0.25">
      <c r="A47" s="81"/>
      <c r="B47" s="82"/>
      <c r="C47" s="81"/>
      <c r="D47" s="82"/>
      <c r="E47" s="81"/>
      <c r="F47" s="83"/>
      <c r="G47" s="83"/>
      <c r="H47" s="129"/>
      <c r="I47" s="130"/>
      <c r="J47" s="130"/>
      <c r="K47" s="130"/>
      <c r="L47" s="123"/>
      <c r="M47" s="130"/>
      <c r="N47" s="128"/>
    </row>
    <row r="48" spans="1:14" x14ac:dyDescent="0.25">
      <c r="A48" s="133"/>
      <c r="B48" s="128"/>
      <c r="C48" s="81"/>
      <c r="D48" s="82"/>
      <c r="E48" s="81"/>
      <c r="F48" s="83"/>
      <c r="G48" s="83"/>
      <c r="H48" s="129"/>
      <c r="I48" s="130"/>
      <c r="J48" s="130"/>
      <c r="K48" s="130"/>
      <c r="L48" s="123"/>
      <c r="M48" s="130"/>
      <c r="N48" s="128"/>
    </row>
    <row r="49" spans="1:14" x14ac:dyDescent="0.25">
      <c r="A49" s="133"/>
      <c r="B49" s="128"/>
      <c r="C49" s="81"/>
      <c r="D49" s="82"/>
      <c r="E49" s="81"/>
      <c r="F49" s="83"/>
      <c r="G49" s="83"/>
      <c r="H49" s="129"/>
      <c r="I49" s="130"/>
      <c r="J49" s="130"/>
      <c r="K49" s="130"/>
      <c r="L49" s="123"/>
      <c r="M49" s="130"/>
      <c r="N49" s="128"/>
    </row>
    <row r="50" spans="1:14" x14ac:dyDescent="0.25">
      <c r="A50" s="133"/>
      <c r="B50" s="128"/>
      <c r="C50" s="81"/>
      <c r="D50" s="82"/>
      <c r="E50" s="81"/>
      <c r="F50" s="83"/>
      <c r="G50" s="83"/>
      <c r="H50" s="129"/>
      <c r="I50" s="130"/>
      <c r="J50" s="130"/>
      <c r="K50" s="130"/>
      <c r="L50" s="123"/>
      <c r="M50" s="130"/>
      <c r="N50" s="128"/>
    </row>
    <row r="51" spans="1:14" x14ac:dyDescent="0.25">
      <c r="A51" s="133"/>
      <c r="B51" s="128"/>
      <c r="C51" s="81"/>
      <c r="D51" s="82"/>
      <c r="E51" s="81"/>
      <c r="F51" s="83"/>
      <c r="G51" s="83"/>
      <c r="H51" s="129"/>
      <c r="I51" s="130"/>
      <c r="J51" s="130"/>
      <c r="K51" s="130"/>
      <c r="L51" s="123"/>
      <c r="M51" s="130"/>
      <c r="N51" s="128"/>
    </row>
    <row r="52" spans="1:14" x14ac:dyDescent="0.25">
      <c r="A52" s="133"/>
      <c r="B52" s="128"/>
      <c r="C52" s="81"/>
      <c r="D52" s="82"/>
      <c r="E52" s="81"/>
      <c r="F52" s="83"/>
      <c r="G52" s="83"/>
      <c r="H52" s="129"/>
      <c r="I52" s="130"/>
      <c r="J52" s="130"/>
      <c r="K52" s="130"/>
      <c r="L52" s="123"/>
      <c r="M52" s="130"/>
      <c r="N52" s="128"/>
    </row>
    <row r="53" spans="1:14" x14ac:dyDescent="0.25">
      <c r="A53" s="133"/>
      <c r="B53" s="128"/>
      <c r="C53" s="81"/>
      <c r="D53" s="82"/>
      <c r="E53" s="81"/>
      <c r="F53" s="83"/>
      <c r="G53" s="83"/>
      <c r="H53" s="129"/>
      <c r="I53" s="130"/>
      <c r="J53" s="130"/>
      <c r="K53" s="130"/>
      <c r="L53" s="123"/>
      <c r="M53" s="130"/>
      <c r="N53" s="128"/>
    </row>
    <row r="54" spans="1:14" x14ac:dyDescent="0.25">
      <c r="A54" s="133"/>
      <c r="B54" s="128"/>
      <c r="C54" s="81"/>
      <c r="D54" s="82"/>
      <c r="E54" s="81"/>
      <c r="F54" s="83"/>
      <c r="G54" s="83"/>
      <c r="H54" s="129"/>
      <c r="I54" s="130"/>
      <c r="J54" s="130"/>
      <c r="K54" s="130"/>
      <c r="L54" s="123"/>
      <c r="M54" s="130"/>
      <c r="N54" s="128"/>
    </row>
    <row r="55" spans="1:14" x14ac:dyDescent="0.25">
      <c r="A55" s="133"/>
      <c r="B55" s="128"/>
      <c r="C55" s="81"/>
      <c r="D55" s="82"/>
      <c r="E55" s="81"/>
      <c r="F55" s="83"/>
      <c r="G55" s="83"/>
      <c r="H55" s="129"/>
      <c r="I55" s="130"/>
      <c r="J55" s="130"/>
      <c r="K55" s="130"/>
      <c r="L55" s="123"/>
      <c r="M55" s="130"/>
      <c r="N55" s="128"/>
    </row>
    <row r="56" spans="1:14" x14ac:dyDescent="0.25">
      <c r="A56" s="133"/>
      <c r="B56" s="128"/>
      <c r="C56" s="81"/>
      <c r="D56" s="82"/>
      <c r="E56" s="81"/>
      <c r="F56" s="83"/>
      <c r="G56" s="83"/>
      <c r="H56" s="129"/>
      <c r="I56" s="130"/>
      <c r="J56" s="130"/>
      <c r="K56" s="130"/>
      <c r="L56" s="123"/>
      <c r="M56" s="130"/>
      <c r="N56" s="128"/>
    </row>
    <row r="57" spans="1:14" x14ac:dyDescent="0.25">
      <c r="A57" s="133"/>
      <c r="B57" s="128"/>
      <c r="C57" s="81"/>
      <c r="D57" s="82"/>
      <c r="E57" s="81"/>
      <c r="F57" s="83"/>
      <c r="G57" s="83"/>
      <c r="H57" s="129"/>
      <c r="I57" s="130"/>
      <c r="J57" s="130"/>
      <c r="K57" s="130"/>
      <c r="L57" s="123"/>
      <c r="M57" s="130"/>
      <c r="N57" s="128"/>
    </row>
    <row r="58" spans="1:14" x14ac:dyDescent="0.25">
      <c r="A58" s="133"/>
      <c r="B58" s="128"/>
      <c r="C58" s="81"/>
      <c r="D58" s="82"/>
      <c r="E58" s="81"/>
      <c r="F58" s="83"/>
      <c r="G58" s="83"/>
      <c r="H58" s="129"/>
      <c r="I58" s="130"/>
      <c r="J58" s="130"/>
      <c r="K58" s="130"/>
      <c r="L58" s="123"/>
      <c r="M58" s="130"/>
      <c r="N58" s="128"/>
    </row>
    <row r="59" spans="1:14" x14ac:dyDescent="0.25">
      <c r="A59" s="133"/>
      <c r="B59" s="128"/>
      <c r="C59" s="81"/>
      <c r="D59" s="82"/>
      <c r="E59" s="81"/>
      <c r="F59" s="83"/>
      <c r="G59" s="83"/>
      <c r="H59" s="129"/>
      <c r="I59" s="130"/>
      <c r="J59" s="130"/>
      <c r="K59" s="130"/>
      <c r="L59" s="123"/>
      <c r="M59" s="130"/>
      <c r="N59" s="128"/>
    </row>
    <row r="60" spans="1:14" x14ac:dyDescent="0.25">
      <c r="A60" s="133"/>
      <c r="B60" s="128"/>
      <c r="C60" s="81"/>
      <c r="D60" s="82"/>
      <c r="E60" s="81"/>
      <c r="F60" s="83"/>
      <c r="G60" s="83"/>
      <c r="H60" s="129"/>
      <c r="I60" s="130"/>
      <c r="J60" s="130"/>
      <c r="K60" s="130"/>
      <c r="L60" s="123"/>
      <c r="M60" s="130"/>
      <c r="N60" s="128"/>
    </row>
    <row r="61" spans="1:14" x14ac:dyDescent="0.25">
      <c r="A61" s="133"/>
      <c r="B61" s="128"/>
      <c r="C61" s="81"/>
      <c r="D61" s="82"/>
      <c r="E61" s="81"/>
      <c r="F61" s="83"/>
      <c r="G61" s="83"/>
      <c r="H61" s="129"/>
      <c r="I61" s="130"/>
      <c r="J61" s="130"/>
      <c r="K61" s="130"/>
      <c r="L61" s="123"/>
      <c r="M61" s="130"/>
      <c r="N61" s="128"/>
    </row>
    <row r="62" spans="1:14" x14ac:dyDescent="0.25">
      <c r="A62" s="81"/>
      <c r="B62" s="82"/>
      <c r="C62" s="81"/>
      <c r="D62" s="82"/>
      <c r="E62" s="81"/>
      <c r="F62" s="83"/>
      <c r="G62" s="83"/>
      <c r="H62" s="129"/>
      <c r="I62" s="130"/>
      <c r="J62" s="130"/>
      <c r="K62" s="130"/>
      <c r="L62" s="123"/>
      <c r="M62" s="130"/>
      <c r="N62" s="128"/>
    </row>
    <row r="63" spans="1:14" x14ac:dyDescent="0.25">
      <c r="A63" s="81"/>
      <c r="B63" s="82"/>
      <c r="C63" s="81"/>
      <c r="D63" s="82"/>
      <c r="E63" s="81"/>
      <c r="F63" s="83"/>
      <c r="G63" s="83"/>
      <c r="H63" s="129"/>
      <c r="I63" s="130"/>
      <c r="J63" s="130"/>
      <c r="K63" s="130"/>
      <c r="L63" s="123"/>
      <c r="M63" s="130"/>
      <c r="N63" s="128"/>
    </row>
    <row r="64" ht="19.5" customHeight="1" spans="1:14" x14ac:dyDescent="0.25">
      <c r="A64" s="81"/>
      <c r="B64" s="129"/>
      <c r="C64" s="81"/>
      <c r="D64" s="82"/>
      <c r="E64" s="82"/>
      <c r="F64" s="83"/>
      <c r="G64" s="83"/>
      <c r="H64" s="129"/>
      <c r="I64" s="130"/>
      <c r="J64" s="130"/>
      <c r="K64" s="130"/>
      <c r="L64" s="123"/>
      <c r="M64" s="130"/>
      <c r="N64" s="128"/>
    </row>
    <row r="65" ht="19.5" customHeight="1" spans="1:14" x14ac:dyDescent="0.25">
      <c r="A65" s="153" t="s">
        <v>33</v>
      </c>
      <c r="B65" s="154"/>
      <c r="C65" s="154"/>
      <c r="D65" s="154"/>
      <c r="E65" s="154"/>
      <c r="F65" s="155"/>
      <c r="G65" s="136">
        <f t="shared" ref="G65:M65" si="0">SUM(G2:G64)</f>
        <v>0</v>
      </c>
      <c r="H65" s="136">
        <f t="shared" si="0"/>
        <v>0</v>
      </c>
      <c r="I65" s="136">
        <f t="shared" si="0"/>
        <v>0</v>
      </c>
      <c r="J65" s="136">
        <f t="shared" si="0"/>
        <v>0</v>
      </c>
      <c r="K65" s="136">
        <f t="shared" si="0"/>
        <v>0</v>
      </c>
      <c r="L65" s="136">
        <f t="shared" si="0"/>
        <v>0</v>
      </c>
      <c r="M65" s="136">
        <f t="shared" si="0"/>
        <v>0</v>
      </c>
      <c r="N65" s="136">
        <f>SUM(N20:N64)</f>
        <v>0</v>
      </c>
    </row>
  </sheetData>
  <autoFilter ref="A1:N41"/>
  <mergeCells count="129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F65"/>
  </mergeCells>
  <pageMargins left="0.25" right="0.25" top="0.75" bottom="0.75" header="0.3" footer="0.3"/>
  <pageSetup paperSize="9" orientation="landscape" horizontalDpi="0" verticalDpi="0" scale="73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V29"/>
  <sheetViews>
    <sheetView workbookViewId="0" zoomScale="80" zoomScaleNormal="80">
      <selection activeCell="A2" sqref="A2"/>
    </sheetView>
  </sheetViews>
  <sheetFormatPr defaultRowHeight="18" outlineLevelRow="0" outlineLevelCol="0" x14ac:dyDescent="0.4" defaultColWidth="8.75" customHeight="1"/>
  <cols>
    <col min="1" max="1" width="9.75" style="156" customWidth="1"/>
    <col min="2" max="2" width="6.5" style="156" customWidth="1"/>
    <col min="3" max="3" width="8.125" style="156" customWidth="1"/>
    <col min="4" max="5" width="10.25" style="156" customWidth="1"/>
    <col min="6" max="6" width="12.5" style="156" customWidth="1"/>
    <col min="7" max="7" width="12.75" style="156" customWidth="1"/>
    <col min="8" max="8" width="13" style="156" customWidth="1"/>
    <col min="9" max="9" width="12.5" style="156" customWidth="1"/>
    <col min="10" max="10" width="12.375" style="156" customWidth="1"/>
    <col min="11" max="12" width="11.875" style="156" customWidth="1"/>
    <col min="13" max="15" width="12.5" style="156" customWidth="1"/>
    <col min="16" max="16384" width="8.75" style="156" customWidth="1"/>
  </cols>
  <sheetData>
    <row r="1" ht="18.75" customHeight="1" spans="1:74" x14ac:dyDescent="0.25">
      <c r="A1" s="157" t="s">
        <v>36</v>
      </c>
      <c r="B1" s="158"/>
      <c r="C1" s="159" t="s">
        <v>37</v>
      </c>
      <c r="D1" s="158"/>
      <c r="E1" s="158" t="s">
        <v>38</v>
      </c>
      <c r="F1" s="158" t="s">
        <v>57</v>
      </c>
      <c r="G1" s="160" t="s">
        <v>5</v>
      </c>
      <c r="H1" s="161" t="s">
        <v>9</v>
      </c>
      <c r="I1" s="162" t="s">
        <v>58</v>
      </c>
      <c r="J1" s="162" t="s">
        <v>27</v>
      </c>
      <c r="K1" s="162" t="s">
        <v>59</v>
      </c>
      <c r="L1" s="162" t="s">
        <v>60</v>
      </c>
      <c r="M1" s="161" t="s">
        <v>47</v>
      </c>
      <c r="N1" s="163" t="s">
        <v>61</v>
      </c>
      <c r="O1" s="164"/>
      <c r="P1" s="164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5"/>
      <c r="AW1" s="165"/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</row>
    <row r="2" ht="17.65" customHeight="1" spans="1:19" s="164" customFormat="1" x14ac:dyDescent="0.25">
      <c r="A2" s="81"/>
      <c r="B2" s="82"/>
      <c r="C2" s="81"/>
      <c r="D2" s="82"/>
      <c r="E2" s="81"/>
      <c r="F2" s="166"/>
      <c r="G2" s="167"/>
      <c r="H2" s="167"/>
      <c r="I2" s="168"/>
      <c r="J2" s="168"/>
      <c r="K2" s="168"/>
      <c r="L2" s="169"/>
      <c r="M2" s="168"/>
      <c r="N2" s="170"/>
      <c r="Q2" s="165"/>
      <c r="R2" s="165"/>
      <c r="S2" s="165"/>
    </row>
    <row r="3" ht="17.65" customHeight="1" spans="1:19" s="164" customFormat="1" x14ac:dyDescent="0.25">
      <c r="A3" s="81"/>
      <c r="B3" s="82"/>
      <c r="C3" s="81"/>
      <c r="D3" s="82"/>
      <c r="E3" s="81"/>
      <c r="F3" s="166"/>
      <c r="G3" s="171"/>
      <c r="H3" s="171"/>
      <c r="I3" s="168"/>
      <c r="J3" s="168"/>
      <c r="K3" s="168"/>
      <c r="L3" s="169"/>
      <c r="M3" s="168"/>
      <c r="N3" s="170"/>
      <c r="Q3" s="165"/>
      <c r="R3" s="165"/>
      <c r="S3" s="165"/>
    </row>
    <row r="4" ht="17.65" customHeight="1" spans="1:19" s="164" customFormat="1" x14ac:dyDescent="0.25">
      <c r="A4" s="81"/>
      <c r="B4" s="82"/>
      <c r="C4" s="101"/>
      <c r="D4" s="102"/>
      <c r="E4" s="97"/>
      <c r="F4" s="166"/>
      <c r="G4" s="172"/>
      <c r="H4" s="173"/>
      <c r="I4" s="168"/>
      <c r="J4" s="168"/>
      <c r="K4" s="168"/>
      <c r="L4" s="169"/>
      <c r="M4" s="168"/>
      <c r="N4" s="170"/>
      <c r="Q4" s="165"/>
      <c r="R4" s="165"/>
      <c r="S4" s="165"/>
    </row>
    <row r="5" ht="17.65" customHeight="1" spans="1:19" s="164" customFormat="1" x14ac:dyDescent="0.25">
      <c r="A5" s="81"/>
      <c r="B5" s="82"/>
      <c r="C5" s="81"/>
      <c r="D5" s="82"/>
      <c r="E5" s="81"/>
      <c r="F5" s="166"/>
      <c r="G5" s="172"/>
      <c r="H5" s="173"/>
      <c r="I5" s="168"/>
      <c r="J5" s="168"/>
      <c r="K5" s="168"/>
      <c r="L5" s="169"/>
      <c r="M5" s="168"/>
      <c r="N5" s="170"/>
      <c r="Q5" s="165"/>
      <c r="R5" s="165"/>
      <c r="S5" s="165"/>
    </row>
    <row r="6" ht="17.65" customHeight="1" spans="1:19" s="174" customFormat="1" x14ac:dyDescent="0.25">
      <c r="A6" s="81"/>
      <c r="B6" s="82"/>
      <c r="C6" s="81"/>
      <c r="D6" s="82"/>
      <c r="E6" s="81"/>
      <c r="F6" s="166"/>
      <c r="G6" s="167"/>
      <c r="H6" s="173"/>
      <c r="I6" s="168"/>
      <c r="J6" s="168"/>
      <c r="K6" s="168"/>
      <c r="L6" s="169"/>
      <c r="M6" s="168"/>
      <c r="N6" s="170"/>
      <c r="P6" s="164"/>
      <c r="Q6" s="165"/>
      <c r="R6" s="165"/>
      <c r="S6" s="165"/>
    </row>
    <row r="7" ht="17.65" customHeight="1" spans="1:19" s="164" customFormat="1" x14ac:dyDescent="0.25">
      <c r="A7" s="133"/>
      <c r="B7" s="128"/>
      <c r="C7" s="81"/>
      <c r="D7" s="82"/>
      <c r="E7" s="81"/>
      <c r="F7" s="166"/>
      <c r="G7" s="167"/>
      <c r="H7" s="173"/>
      <c r="I7" s="168"/>
      <c r="J7" s="168"/>
      <c r="K7" s="168"/>
      <c r="L7" s="169"/>
      <c r="M7" s="168"/>
      <c r="N7" s="170"/>
      <c r="Q7" s="165"/>
      <c r="R7" s="165"/>
      <c r="S7" s="165"/>
    </row>
    <row r="8" ht="17.65" customHeight="1" spans="1:19" s="164" customFormat="1" x14ac:dyDescent="0.25">
      <c r="A8" s="133"/>
      <c r="B8" s="128"/>
      <c r="C8" s="81"/>
      <c r="D8" s="82"/>
      <c r="E8" s="81"/>
      <c r="F8" s="166"/>
      <c r="G8" s="167"/>
      <c r="H8" s="173"/>
      <c r="I8" s="168"/>
      <c r="J8" s="168"/>
      <c r="K8" s="168"/>
      <c r="L8" s="169"/>
      <c r="M8" s="168"/>
      <c r="N8" s="170"/>
      <c r="Q8" s="165"/>
      <c r="R8" s="165"/>
      <c r="S8" s="165"/>
    </row>
    <row r="9" ht="17.65" customHeight="1" spans="1:19" s="164" customFormat="1" x14ac:dyDescent="0.25">
      <c r="A9" s="81"/>
      <c r="B9" s="82"/>
      <c r="C9" s="81"/>
      <c r="D9" s="82"/>
      <c r="E9" s="81"/>
      <c r="F9" s="172"/>
      <c r="G9" s="167"/>
      <c r="H9" s="173"/>
      <c r="I9" s="168"/>
      <c r="J9" s="168"/>
      <c r="K9" s="168"/>
      <c r="L9" s="169"/>
      <c r="M9" s="168"/>
      <c r="N9" s="170"/>
      <c r="Q9" s="165"/>
      <c r="R9" s="165"/>
      <c r="S9" s="165"/>
    </row>
    <row r="10" ht="17.65" customHeight="1" spans="1:19" s="164" customFormat="1" x14ac:dyDescent="0.25">
      <c r="A10" s="81"/>
      <c r="B10" s="82"/>
      <c r="C10" s="81"/>
      <c r="D10" s="82"/>
      <c r="E10" s="83"/>
      <c r="F10" s="172"/>
      <c r="G10" s="167"/>
      <c r="H10" s="173"/>
      <c r="I10" s="168"/>
      <c r="J10" s="168"/>
      <c r="K10" s="168"/>
      <c r="L10" s="169"/>
      <c r="M10" s="168"/>
      <c r="N10" s="170"/>
      <c r="Q10" s="165"/>
      <c r="R10" s="165"/>
      <c r="S10" s="165"/>
    </row>
    <row r="11" ht="17.65" customHeight="1" spans="1:19" s="164" customFormat="1" x14ac:dyDescent="0.25">
      <c r="A11" s="175"/>
      <c r="B11" s="167"/>
      <c r="C11" s="81"/>
      <c r="D11" s="81"/>
      <c r="E11" s="83"/>
      <c r="F11" s="172"/>
      <c r="G11" s="167"/>
      <c r="H11" s="173"/>
      <c r="I11" s="168"/>
      <c r="J11" s="168"/>
      <c r="K11" s="168"/>
      <c r="L11" s="169"/>
      <c r="M11" s="168"/>
      <c r="N11" s="170"/>
      <c r="Q11" s="165"/>
      <c r="R11" s="165"/>
      <c r="S11" s="165"/>
    </row>
    <row r="12" ht="17.65" customHeight="1" spans="1:19" s="164" customFormat="1" x14ac:dyDescent="0.25">
      <c r="A12" s="101"/>
      <c r="B12" s="102"/>
      <c r="C12" s="103"/>
      <c r="D12" s="102"/>
      <c r="E12" s="83"/>
      <c r="F12" s="172"/>
      <c r="G12" s="167"/>
      <c r="H12" s="173"/>
      <c r="I12" s="168"/>
      <c r="J12" s="168"/>
      <c r="K12" s="168"/>
      <c r="L12" s="169"/>
      <c r="M12" s="168"/>
      <c r="N12" s="170"/>
      <c r="Q12" s="165"/>
      <c r="R12" s="165"/>
      <c r="S12" s="165"/>
    </row>
    <row r="13" ht="17.65" customHeight="1" spans="1:19" s="164" customFormat="1" x14ac:dyDescent="0.25">
      <c r="A13" s="175"/>
      <c r="B13" s="167"/>
      <c r="C13" s="81"/>
      <c r="D13" s="81"/>
      <c r="E13" s="83"/>
      <c r="F13" s="172"/>
      <c r="G13" s="167"/>
      <c r="H13" s="173"/>
      <c r="I13" s="168"/>
      <c r="J13" s="168"/>
      <c r="K13" s="168"/>
      <c r="L13" s="169"/>
      <c r="M13" s="168"/>
      <c r="N13" s="170"/>
      <c r="Q13" s="165"/>
      <c r="R13" s="165"/>
      <c r="S13" s="165"/>
    </row>
    <row r="14" ht="17.65" customHeight="1" spans="1:14" s="164" customFormat="1" x14ac:dyDescent="0.25">
      <c r="A14" s="175"/>
      <c r="B14" s="167"/>
      <c r="C14" s="81"/>
      <c r="D14" s="81"/>
      <c r="E14" s="83"/>
      <c r="F14" s="172"/>
      <c r="G14" s="167"/>
      <c r="H14" s="173"/>
      <c r="I14" s="168"/>
      <c r="J14" s="168"/>
      <c r="K14" s="168"/>
      <c r="L14" s="169"/>
      <c r="M14" s="168"/>
      <c r="N14" s="170"/>
    </row>
    <row r="15" ht="17.65" customHeight="1" spans="1:14" s="164" customFormat="1" x14ac:dyDescent="0.25">
      <c r="A15" s="81"/>
      <c r="B15" s="82"/>
      <c r="C15" s="81"/>
      <c r="D15" s="82"/>
      <c r="E15" s="83"/>
      <c r="F15" s="172"/>
      <c r="G15" s="167"/>
      <c r="H15" s="173"/>
      <c r="I15" s="168"/>
      <c r="J15" s="168"/>
      <c r="K15" s="168"/>
      <c r="L15" s="169"/>
      <c r="M15" s="168"/>
      <c r="N15" s="170"/>
    </row>
    <row r="16" ht="17.65" customHeight="1" spans="1:14" s="164" customFormat="1" x14ac:dyDescent="0.25">
      <c r="A16" s="81"/>
      <c r="B16" s="82"/>
      <c r="C16" s="81"/>
      <c r="D16" s="82"/>
      <c r="E16" s="83"/>
      <c r="F16" s="172"/>
      <c r="G16" s="167"/>
      <c r="H16" s="173"/>
      <c r="I16" s="168"/>
      <c r="J16" s="168"/>
      <c r="K16" s="168"/>
      <c r="L16" s="169"/>
      <c r="M16" s="168"/>
      <c r="N16" s="170"/>
    </row>
    <row r="17" ht="18.6" customHeight="1" spans="1:14" s="164" customFormat="1" x14ac:dyDescent="0.25">
      <c r="A17" s="175"/>
      <c r="B17" s="167"/>
      <c r="C17" s="81"/>
      <c r="D17" s="81"/>
      <c r="E17" s="83"/>
      <c r="F17" s="172"/>
      <c r="G17" s="167"/>
      <c r="H17" s="173"/>
      <c r="I17" s="168"/>
      <c r="J17" s="168"/>
      <c r="K17" s="168"/>
      <c r="L17" s="169"/>
      <c r="M17" s="168"/>
      <c r="N17" s="170"/>
    </row>
    <row r="18" ht="17.65" customHeight="1" spans="1:14" s="164" customFormat="1" x14ac:dyDescent="0.25">
      <c r="A18" s="81"/>
      <c r="B18" s="82"/>
      <c r="C18" s="81"/>
      <c r="D18" s="82"/>
      <c r="E18" s="83"/>
      <c r="F18" s="172"/>
      <c r="G18" s="167"/>
      <c r="H18" s="173"/>
      <c r="I18" s="168"/>
      <c r="J18" s="168"/>
      <c r="K18" s="168"/>
      <c r="L18" s="169"/>
      <c r="M18" s="168"/>
      <c r="N18" s="170"/>
    </row>
    <row r="19" ht="17.45" customHeight="1" spans="1:14" s="164" customFormat="1" x14ac:dyDescent="0.25">
      <c r="A19" s="175"/>
      <c r="B19" s="167"/>
      <c r="C19" s="81"/>
      <c r="D19" s="81"/>
      <c r="E19" s="83"/>
      <c r="F19" s="172"/>
      <c r="G19" s="167"/>
      <c r="H19" s="173"/>
      <c r="I19" s="168"/>
      <c r="J19" s="168"/>
      <c r="K19" s="168"/>
      <c r="L19" s="169"/>
      <c r="M19" s="168"/>
      <c r="N19" s="170"/>
    </row>
    <row r="20" ht="17.65" customHeight="1" spans="1:14" s="164" customFormat="1" x14ac:dyDescent="0.25">
      <c r="A20" s="81"/>
      <c r="B20" s="82"/>
      <c r="C20" s="81"/>
      <c r="D20" s="82"/>
      <c r="E20" s="83"/>
      <c r="F20" s="172"/>
      <c r="G20" s="167"/>
      <c r="H20" s="173"/>
      <c r="I20" s="168"/>
      <c r="J20" s="168"/>
      <c r="K20" s="168"/>
      <c r="L20" s="169"/>
      <c r="M20" s="168"/>
      <c r="N20" s="170"/>
    </row>
    <row r="21" ht="17.65" customHeight="1" spans="1:14" s="164" customFormat="1" x14ac:dyDescent="0.25">
      <c r="A21" s="175"/>
      <c r="B21" s="167"/>
      <c r="C21" s="81"/>
      <c r="D21" s="81"/>
      <c r="E21" s="83"/>
      <c r="F21" s="172"/>
      <c r="G21" s="167"/>
      <c r="H21" s="173"/>
      <c r="I21" s="168"/>
      <c r="J21" s="168"/>
      <c r="K21" s="168"/>
      <c r="L21" s="169"/>
      <c r="M21" s="168"/>
      <c r="N21" s="170"/>
    </row>
    <row r="22" ht="17.65" customHeight="1" spans="1:14" s="164" customFormat="1" x14ac:dyDescent="0.25">
      <c r="A22" s="175"/>
      <c r="B22" s="167"/>
      <c r="C22" s="81"/>
      <c r="D22" s="81"/>
      <c r="E22" s="83"/>
      <c r="F22" s="172"/>
      <c r="G22" s="167"/>
      <c r="H22" s="173"/>
      <c r="I22" s="168"/>
      <c r="J22" s="168"/>
      <c r="K22" s="168"/>
      <c r="L22" s="169"/>
      <c r="M22" s="168"/>
      <c r="N22" s="170"/>
    </row>
    <row r="23" ht="17.65" customHeight="1" spans="1:14" s="164" customFormat="1" x14ac:dyDescent="0.25">
      <c r="A23" s="175"/>
      <c r="B23" s="167"/>
      <c r="C23" s="81"/>
      <c r="D23" s="81"/>
      <c r="E23" s="83"/>
      <c r="F23" s="172"/>
      <c r="G23" s="167"/>
      <c r="H23" s="173"/>
      <c r="I23" s="168"/>
      <c r="J23" s="168"/>
      <c r="K23" s="168"/>
      <c r="L23" s="169"/>
      <c r="M23" s="168"/>
      <c r="N23" s="170"/>
    </row>
    <row r="24" ht="17.65" customHeight="1" spans="1:14" s="164" customFormat="1" x14ac:dyDescent="0.25">
      <c r="A24" s="175"/>
      <c r="B24" s="167"/>
      <c r="C24" s="81"/>
      <c r="D24" s="81"/>
      <c r="E24" s="83"/>
      <c r="F24" s="172"/>
      <c r="G24" s="167"/>
      <c r="H24" s="173"/>
      <c r="I24" s="168"/>
      <c r="J24" s="168"/>
      <c r="K24" s="168"/>
      <c r="L24" s="169"/>
      <c r="M24" s="168"/>
      <c r="N24" s="170"/>
    </row>
    <row r="25" ht="17.65" customHeight="1" spans="1:14" s="164" customFormat="1" x14ac:dyDescent="0.25">
      <c r="A25" s="175"/>
      <c r="B25" s="167"/>
      <c r="C25" s="81"/>
      <c r="D25" s="81"/>
      <c r="E25" s="83"/>
      <c r="F25" s="172"/>
      <c r="G25" s="167"/>
      <c r="H25" s="173"/>
      <c r="I25" s="168"/>
      <c r="J25" s="168"/>
      <c r="K25" s="168"/>
      <c r="L25" s="169"/>
      <c r="M25" s="168"/>
      <c r="N25" s="170"/>
    </row>
    <row r="26" ht="17.65" customHeight="1" spans="1:14" s="164" customFormat="1" x14ac:dyDescent="0.25">
      <c r="A26" s="175"/>
      <c r="B26" s="167"/>
      <c r="C26" s="81"/>
      <c r="D26" s="81"/>
      <c r="E26" s="83"/>
      <c r="F26" s="172"/>
      <c r="G26" s="167"/>
      <c r="H26" s="173"/>
      <c r="I26" s="168"/>
      <c r="J26" s="168"/>
      <c r="K26" s="168"/>
      <c r="L26" s="169"/>
      <c r="M26" s="168"/>
      <c r="N26" s="170"/>
    </row>
    <row r="27" ht="17.65" customHeight="1" spans="1:14" s="164" customFormat="1" x14ac:dyDescent="0.25">
      <c r="A27" s="175"/>
      <c r="B27" s="167"/>
      <c r="C27" s="81"/>
      <c r="D27" s="81"/>
      <c r="E27" s="83"/>
      <c r="F27" s="172"/>
      <c r="G27" s="167"/>
      <c r="H27" s="173"/>
      <c r="I27" s="168"/>
      <c r="J27" s="168"/>
      <c r="K27" s="168"/>
      <c r="L27" s="169"/>
      <c r="M27" s="168"/>
      <c r="N27" s="170"/>
    </row>
    <row r="28" ht="19.5" customHeight="1" spans="1:14" s="164" customFormat="1" x14ac:dyDescent="0.25">
      <c r="A28" s="176"/>
      <c r="B28" s="177"/>
      <c r="C28" s="178"/>
      <c r="D28" s="178"/>
      <c r="E28" s="179"/>
      <c r="F28" s="180"/>
      <c r="G28" s="167"/>
      <c r="H28" s="173"/>
      <c r="I28" s="168"/>
      <c r="J28" s="168"/>
      <c r="K28" s="168"/>
      <c r="L28" s="169"/>
      <c r="M28" s="168"/>
      <c r="N28" s="170"/>
    </row>
    <row r="29" ht="18.75" customHeight="1" spans="1:14" s="164" customFormat="1" x14ac:dyDescent="0.25">
      <c r="A29" s="181" t="s">
        <v>33</v>
      </c>
      <c r="B29" s="182"/>
      <c r="C29" s="182"/>
      <c r="D29" s="182"/>
      <c r="E29" s="183"/>
      <c r="F29" s="184"/>
      <c r="G29" s="185">
        <f t="shared" ref="G29:N29" si="0">SUM(G2:G28)</f>
        <v>0</v>
      </c>
      <c r="H29" s="185">
        <f t="shared" si="0"/>
        <v>0</v>
      </c>
      <c r="I29" s="185">
        <f t="shared" si="0"/>
        <v>0</v>
      </c>
      <c r="J29" s="185">
        <f t="shared" si="0"/>
        <v>0</v>
      </c>
      <c r="K29" s="185">
        <f t="shared" si="0"/>
        <v>0</v>
      </c>
      <c r="L29" s="185">
        <f t="shared" si="0"/>
        <v>0</v>
      </c>
      <c r="M29" s="185">
        <f t="shared" si="0"/>
        <v>0</v>
      </c>
      <c r="N29" s="185">
        <f t="shared" si="0"/>
        <v>0</v>
      </c>
    </row>
  </sheetData>
  <autoFilter ref="A1:N5"/>
  <mergeCells count="57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F29"/>
  </mergeCells>
  <pageMargins left="0.7" right="0.7" top="0.75" bottom="0.75" header="0.3" footer="0.3"/>
  <pageSetup paperSize="9" orientation="landscape" horizontalDpi="0" verticalDpi="0" scale="77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 zoomScaleNormal="100">
      <selection activeCell="F20" sqref="F20"/>
    </sheetView>
  </sheetViews>
  <sheetFormatPr defaultRowHeight="18.75" outlineLevelRow="0" outlineLevelCol="0" x14ac:dyDescent="0.4" customHeight="1"/>
  <cols>
    <col min="4" max="4" width="11.5" style="91" customWidth="1"/>
    <col min="5" max="7" width="9.5" style="186" customWidth="1"/>
    <col min="8" max="8" width="11.75" style="187" customWidth="1"/>
    <col min="9" max="9" width="11.5" customWidth="1"/>
    <col min="10" max="10" width="9.125" customWidth="1"/>
    <col min="13" max="13" width="11.75" customWidth="1"/>
  </cols>
  <sheetData>
    <row r="1" spans="1:13" x14ac:dyDescent="0.25">
      <c r="A1" s="188" t="s">
        <v>63</v>
      </c>
      <c r="B1" s="188"/>
      <c r="C1" s="188"/>
      <c r="D1" s="189" t="s">
        <v>36</v>
      </c>
      <c r="E1" s="190" t="s">
        <v>18</v>
      </c>
      <c r="F1" s="190" t="s">
        <v>25</v>
      </c>
      <c r="G1" s="191" t="s">
        <v>5</v>
      </c>
      <c r="H1" s="192" t="s">
        <v>64</v>
      </c>
      <c r="I1" s="189" t="s">
        <v>36</v>
      </c>
      <c r="J1" s="190" t="s">
        <v>18</v>
      </c>
      <c r="K1" s="190" t="s">
        <v>25</v>
      </c>
      <c r="L1" s="191" t="s">
        <v>5</v>
      </c>
      <c r="M1" s="192" t="s">
        <v>64</v>
      </c>
    </row>
    <row r="2" spans="1:13" x14ac:dyDescent="0.25">
      <c r="A2" s="188"/>
      <c r="B2" s="188"/>
      <c r="C2" s="188"/>
      <c r="D2" s="193" t="s">
        <v>65</v>
      </c>
      <c r="E2" s="194">
        <v>8500</v>
      </c>
      <c r="F2" s="194">
        <v>61500</v>
      </c>
      <c r="G2" s="194">
        <f>SUM(E2:F2)</f>
        <v>70000</v>
      </c>
      <c r="H2" s="195">
        <f>G2-38000</f>
        <v>32000</v>
      </c>
      <c r="I2" s="193">
        <v>45917</v>
      </c>
      <c r="J2" s="194"/>
      <c r="K2" s="194"/>
      <c r="L2" s="194">
        <f>SUM(J2:K2)</f>
        <v>0</v>
      </c>
      <c r="M2" s="195">
        <f>L2-32000</f>
        <v>-32000</v>
      </c>
    </row>
    <row r="3" spans="1:19" x14ac:dyDescent="0.25">
      <c r="A3" s="196" t="s">
        <v>66</v>
      </c>
      <c r="B3" s="197" t="s">
        <v>67</v>
      </c>
      <c r="C3" s="198" t="s">
        <v>33</v>
      </c>
      <c r="D3" s="193">
        <v>45902</v>
      </c>
      <c r="E3" s="194">
        <v>4000</v>
      </c>
      <c r="F3" s="194">
        <v>0</v>
      </c>
      <c r="G3" s="194">
        <f t="shared" ref="G3:G17" si="0">SUM(E3:F3)</f>
        <v>4000</v>
      </c>
      <c r="H3" s="195">
        <f t="shared" ref="H3:H17" si="1">G3-38000</f>
        <v>-34000</v>
      </c>
      <c r="I3" s="193">
        <v>45918</v>
      </c>
      <c r="J3" s="194"/>
      <c r="K3" s="194"/>
      <c r="L3" s="194">
        <f t="shared" ref="L3:L18" si="2">SUM(J3:K3)</f>
        <v>0</v>
      </c>
      <c r="M3" s="195">
        <f t="shared" ref="M3:M16" si="3">L3-32000</f>
        <v>-32000</v>
      </c>
      <c r="Q3">
        <v>500</v>
      </c>
      <c r="R3">
        <v>10</v>
      </c>
      <c r="S3" s="199">
        <v>5000</v>
      </c>
    </row>
    <row r="4" spans="1:19" x14ac:dyDescent="0.25">
      <c r="A4" s="200">
        <v>10</v>
      </c>
      <c r="B4" s="200">
        <v>5</v>
      </c>
      <c r="C4" s="200">
        <f>(A4*B4)</f>
        <v>50</v>
      </c>
      <c r="D4" s="193" t="s">
        <v>68</v>
      </c>
      <c r="E4" s="194">
        <v>0</v>
      </c>
      <c r="F4" s="194">
        <v>0</v>
      </c>
      <c r="G4" s="194">
        <f t="shared" si="0"/>
        <v>0</v>
      </c>
      <c r="H4" s="195"/>
      <c r="I4" s="193">
        <v>45919</v>
      </c>
      <c r="J4" s="194"/>
      <c r="K4" s="201"/>
      <c r="L4" s="194">
        <f t="shared" si="2"/>
        <v>0</v>
      </c>
      <c r="M4" s="195">
        <f t="shared" si="3"/>
        <v>-32000</v>
      </c>
      <c r="Q4">
        <v>100</v>
      </c>
      <c r="R4">
        <v>44</v>
      </c>
      <c r="S4" s="199">
        <v>4400</v>
      </c>
    </row>
    <row r="5" spans="1:19" x14ac:dyDescent="0.25">
      <c r="A5" s="200">
        <v>50</v>
      </c>
      <c r="B5" s="200">
        <v>5</v>
      </c>
      <c r="C5" s="200">
        <f t="shared" ref="C5:C10" si="4">(A5*B5)</f>
        <v>250</v>
      </c>
      <c r="D5" s="193" t="s">
        <v>69</v>
      </c>
      <c r="E5" s="194"/>
      <c r="F5" s="194">
        <v>51500</v>
      </c>
      <c r="G5" s="194">
        <f t="shared" si="0"/>
        <v>51500</v>
      </c>
      <c r="H5" s="195">
        <f t="shared" si="1"/>
        <v>13500</v>
      </c>
      <c r="I5" s="193">
        <v>45920</v>
      </c>
      <c r="J5" s="194"/>
      <c r="K5" s="194"/>
      <c r="L5" s="194">
        <f t="shared" si="2"/>
        <v>0</v>
      </c>
      <c r="M5" s="195">
        <f t="shared" si="3"/>
        <v>-32000</v>
      </c>
      <c r="Q5">
        <v>50</v>
      </c>
      <c r="R5">
        <v>6</v>
      </c>
      <c r="S5">
        <v>300</v>
      </c>
    </row>
    <row r="6" spans="1:19" x14ac:dyDescent="0.25">
      <c r="A6" s="200">
        <v>100</v>
      </c>
      <c r="B6" s="200">
        <v>12</v>
      </c>
      <c r="C6" s="200">
        <f t="shared" si="4"/>
        <v>1200</v>
      </c>
      <c r="D6" s="193" t="s">
        <v>70</v>
      </c>
      <c r="E6" s="194"/>
      <c r="F6" s="194"/>
      <c r="G6" s="194">
        <f t="shared" si="0"/>
        <v>0</v>
      </c>
      <c r="H6" s="195">
        <f t="shared" si="1"/>
        <v>-38000</v>
      </c>
      <c r="I6" s="193">
        <v>45921</v>
      </c>
      <c r="J6" s="194"/>
      <c r="K6" s="194"/>
      <c r="L6" s="194">
        <f t="shared" si="2"/>
        <v>0</v>
      </c>
      <c r="M6" s="195">
        <f t="shared" si="3"/>
        <v>-32000</v>
      </c>
      <c r="Q6">
        <v>10</v>
      </c>
      <c r="R6">
        <v>0</v>
      </c>
      <c r="S6">
        <v>0</v>
      </c>
    </row>
    <row r="7" spans="1:19" x14ac:dyDescent="0.25">
      <c r="A7" s="200">
        <v>500</v>
      </c>
      <c r="B7" s="200">
        <v>3</v>
      </c>
      <c r="C7" s="200">
        <f t="shared" si="4"/>
        <v>1500</v>
      </c>
      <c r="D7" s="193" t="s">
        <v>71</v>
      </c>
      <c r="E7" s="194">
        <v>25200</v>
      </c>
      <c r="F7" s="194"/>
      <c r="G7" s="194">
        <f t="shared" si="0"/>
        <v>25200</v>
      </c>
      <c r="H7" s="195">
        <f t="shared" si="1"/>
        <v>-12800</v>
      </c>
      <c r="I7" s="193">
        <v>45922</v>
      </c>
      <c r="J7" s="194"/>
      <c r="K7" s="194"/>
      <c r="L7" s="194">
        <f t="shared" si="2"/>
        <v>0</v>
      </c>
      <c r="M7" s="195">
        <f t="shared" si="3"/>
        <v>-32000</v>
      </c>
      <c r="Q7" s="199">
        <v>1000</v>
      </c>
      <c r="R7">
        <v>14</v>
      </c>
      <c r="S7" s="199">
        <v>14000</v>
      </c>
    </row>
    <row r="8" spans="1:19" x14ac:dyDescent="0.25">
      <c r="A8" s="200">
        <v>1000</v>
      </c>
      <c r="B8" s="200">
        <v>12</v>
      </c>
      <c r="C8" s="200">
        <f t="shared" si="4"/>
        <v>12000</v>
      </c>
      <c r="D8" s="193" t="s">
        <v>72</v>
      </c>
      <c r="E8" s="194"/>
      <c r="F8" s="194">
        <v>108000</v>
      </c>
      <c r="G8" s="194">
        <f t="shared" si="0"/>
        <v>108000</v>
      </c>
      <c r="H8" s="195">
        <f t="shared" si="1"/>
        <v>70000</v>
      </c>
      <c r="I8" s="193">
        <v>45923</v>
      </c>
      <c r="J8" s="194"/>
      <c r="K8" s="194"/>
      <c r="L8" s="194">
        <f t="shared" si="2"/>
        <v>0</v>
      </c>
      <c r="M8" s="195">
        <f t="shared" si="3"/>
        <v>-32000</v>
      </c>
      <c r="Q8" s="199">
        <v>5000</v>
      </c>
      <c r="R8">
        <v>2</v>
      </c>
      <c r="S8" s="199">
        <v>10000</v>
      </c>
    </row>
    <row r="9" spans="1:19" x14ac:dyDescent="0.25">
      <c r="A9" s="200">
        <v>5000</v>
      </c>
      <c r="B9" s="200">
        <v>3</v>
      </c>
      <c r="C9" s="200">
        <f t="shared" si="4"/>
        <v>15000</v>
      </c>
      <c r="D9" s="193" t="s">
        <v>73</v>
      </c>
      <c r="E9" s="194"/>
      <c r="F9" s="194"/>
      <c r="G9" s="194">
        <f t="shared" si="0"/>
        <v>0</v>
      </c>
      <c r="H9" s="195">
        <v>0</v>
      </c>
      <c r="I9" s="193">
        <v>45924</v>
      </c>
      <c r="J9" s="194"/>
      <c r="K9" s="194"/>
      <c r="L9" s="194">
        <f t="shared" si="2"/>
        <v>0</v>
      </c>
      <c r="M9" s="195">
        <f t="shared" si="3"/>
        <v>-32000</v>
      </c>
      <c r="Q9" s="199">
        <v>10000</v>
      </c>
      <c r="R9">
        <v>0</v>
      </c>
      <c r="S9">
        <v>0</v>
      </c>
    </row>
    <row r="10" spans="1:19" x14ac:dyDescent="0.25">
      <c r="A10" s="200">
        <v>10000</v>
      </c>
      <c r="B10" s="200">
        <v>0</v>
      </c>
      <c r="C10" s="200">
        <f t="shared" si="4"/>
        <v>0</v>
      </c>
      <c r="D10" s="193" t="s">
        <v>74</v>
      </c>
      <c r="E10" s="194"/>
      <c r="F10" s="194">
        <v>104000</v>
      </c>
      <c r="G10" s="194">
        <f t="shared" si="0"/>
        <v>104000</v>
      </c>
      <c r="H10" s="195">
        <f t="shared" si="1"/>
        <v>66000</v>
      </c>
      <c r="I10" s="193">
        <v>45925</v>
      </c>
      <c r="J10" s="194"/>
      <c r="K10" s="194"/>
      <c r="L10" s="194">
        <f t="shared" si="2"/>
        <v>0</v>
      </c>
      <c r="M10" s="195">
        <f t="shared" si="3"/>
        <v>-32000</v>
      </c>
      <c r="S10" s="199">
        <v>33700</v>
      </c>
    </row>
    <row r="11" spans="1:13" x14ac:dyDescent="0.25">
      <c r="A11" s="202" t="s">
        <v>75</v>
      </c>
      <c r="B11" s="202"/>
      <c r="C11" s="200">
        <f>SUM(C4:C10)</f>
        <v>30000</v>
      </c>
      <c r="D11" s="193" t="s">
        <v>76</v>
      </c>
      <c r="E11" s="194">
        <v>66000</v>
      </c>
      <c r="F11" s="194"/>
      <c r="G11" s="194">
        <f t="shared" si="0"/>
        <v>66000</v>
      </c>
      <c r="H11" s="195">
        <f t="shared" si="1"/>
        <v>28000</v>
      </c>
      <c r="I11" s="193">
        <v>45926</v>
      </c>
      <c r="J11" s="194"/>
      <c r="K11" s="194"/>
      <c r="L11" s="194">
        <f t="shared" si="2"/>
        <v>0</v>
      </c>
      <c r="M11" s="195">
        <f t="shared" si="3"/>
        <v>-32000</v>
      </c>
    </row>
    <row r="12" spans="1:13" x14ac:dyDescent="0.25">
      <c r="A12" s="188" t="s">
        <v>77</v>
      </c>
      <c r="B12" s="188"/>
      <c r="C12" s="188"/>
      <c r="D12" s="193" t="s">
        <v>78</v>
      </c>
      <c r="E12" s="194">
        <v>67500</v>
      </c>
      <c r="F12" s="194"/>
      <c r="G12" s="194">
        <f t="shared" si="0"/>
        <v>67500</v>
      </c>
      <c r="H12" s="195">
        <f t="shared" si="1"/>
        <v>29500</v>
      </c>
      <c r="I12" s="193">
        <v>45927</v>
      </c>
      <c r="J12" s="194"/>
      <c r="K12" s="194"/>
      <c r="L12" s="194">
        <f t="shared" si="2"/>
        <v>0</v>
      </c>
      <c r="M12" s="195">
        <f t="shared" si="3"/>
        <v>-32000</v>
      </c>
    </row>
    <row r="13" spans="1:13" x14ac:dyDescent="0.25">
      <c r="A13" s="188"/>
      <c r="B13" s="188"/>
      <c r="C13" s="188"/>
      <c r="D13" s="193" t="s">
        <v>79</v>
      </c>
      <c r="E13" s="194"/>
      <c r="F13" s="194"/>
      <c r="G13" s="194">
        <f t="shared" si="0"/>
        <v>0</v>
      </c>
      <c r="H13" s="195">
        <f t="shared" si="1"/>
        <v>-38000</v>
      </c>
      <c r="I13" s="193">
        <v>45928</v>
      </c>
      <c r="J13" s="194"/>
      <c r="K13" s="194"/>
      <c r="L13" s="194">
        <f t="shared" si="2"/>
        <v>0</v>
      </c>
      <c r="M13" s="195">
        <f t="shared" si="3"/>
        <v>-32000</v>
      </c>
    </row>
    <row r="14" spans="1:13" x14ac:dyDescent="0.25">
      <c r="A14" s="196" t="s">
        <v>66</v>
      </c>
      <c r="B14" s="197" t="s">
        <v>67</v>
      </c>
      <c r="C14" s="198" t="s">
        <v>33</v>
      </c>
      <c r="D14" s="193" t="s">
        <v>80</v>
      </c>
      <c r="E14" s="194">
        <v>3000</v>
      </c>
      <c r="F14" s="194"/>
      <c r="G14" s="194">
        <f t="shared" si="0"/>
        <v>3000</v>
      </c>
      <c r="H14" s="195">
        <f t="shared" si="1"/>
        <v>-35000</v>
      </c>
      <c r="I14" s="193">
        <v>45929</v>
      </c>
      <c r="J14" s="194"/>
      <c r="K14" s="194"/>
      <c r="L14" s="194">
        <f t="shared" si="2"/>
        <v>0</v>
      </c>
      <c r="M14" s="195">
        <f t="shared" si="3"/>
        <v>-32000</v>
      </c>
    </row>
    <row r="15" spans="1:13" x14ac:dyDescent="0.25">
      <c r="A15" s="200">
        <v>10</v>
      </c>
      <c r="B15" s="200">
        <v>5</v>
      </c>
      <c r="C15" s="200">
        <f>(A15*B15)</f>
        <v>50</v>
      </c>
      <c r="D15" s="193" t="s">
        <v>81</v>
      </c>
      <c r="E15" s="194"/>
      <c r="F15" s="194">
        <v>17000</v>
      </c>
      <c r="G15" s="194">
        <f t="shared" si="0"/>
        <v>17000</v>
      </c>
      <c r="H15" s="195">
        <f t="shared" si="1"/>
        <v>-21000</v>
      </c>
      <c r="I15" s="193">
        <v>45930</v>
      </c>
      <c r="J15" s="194"/>
      <c r="K15" s="194"/>
      <c r="L15" s="194">
        <f t="shared" si="2"/>
        <v>0</v>
      </c>
      <c r="M15" s="195">
        <f t="shared" si="3"/>
        <v>-32000</v>
      </c>
    </row>
    <row r="16" spans="1:13" x14ac:dyDescent="0.25">
      <c r="A16" s="200">
        <v>50</v>
      </c>
      <c r="B16" s="200">
        <v>5</v>
      </c>
      <c r="C16" s="200">
        <f t="shared" ref="C16:C21" si="5">(A16*B16)</f>
        <v>250</v>
      </c>
      <c r="D16" s="193" t="s">
        <v>82</v>
      </c>
      <c r="E16" s="194"/>
      <c r="F16" s="194">
        <v>59900</v>
      </c>
      <c r="G16" s="194">
        <f t="shared" si="0"/>
        <v>59900</v>
      </c>
      <c r="H16" s="195">
        <f t="shared" si="1"/>
        <v>21900</v>
      </c>
      <c r="I16" s="193"/>
      <c r="J16" s="194"/>
      <c r="K16" s="194"/>
      <c r="L16" s="194">
        <f t="shared" si="2"/>
        <v>0</v>
      </c>
      <c r="M16" s="195">
        <f t="shared" si="3"/>
        <v>-32000</v>
      </c>
    </row>
    <row r="17" ht="19.5" customHeight="1" spans="1:13" x14ac:dyDescent="0.25">
      <c r="A17" s="200">
        <v>100</v>
      </c>
      <c r="B17" s="200">
        <v>12</v>
      </c>
      <c r="C17" s="200">
        <f t="shared" si="5"/>
        <v>1200</v>
      </c>
      <c r="D17" s="193" t="s">
        <v>83</v>
      </c>
      <c r="E17" s="194"/>
      <c r="F17" s="194"/>
      <c r="G17" s="194">
        <f t="shared" si="0"/>
        <v>0</v>
      </c>
      <c r="H17" s="195">
        <f t="shared" si="1"/>
        <v>-38000</v>
      </c>
      <c r="I17" s="193"/>
      <c r="J17" s="194"/>
      <c r="K17" s="194"/>
      <c r="L17" s="194">
        <f t="shared" si="2"/>
        <v>0</v>
      </c>
      <c r="M17" s="195"/>
    </row>
    <row r="18" ht="19.5" customHeight="1" spans="1:13" x14ac:dyDescent="0.25">
      <c r="A18" s="200">
        <v>500</v>
      </c>
      <c r="B18" s="200">
        <v>3</v>
      </c>
      <c r="C18" s="200">
        <f t="shared" si="5"/>
        <v>1500</v>
      </c>
      <c r="D18" s="203" t="s">
        <v>33</v>
      </c>
      <c r="E18" s="204">
        <f>SUM(E2:E17)</f>
        <v>174200</v>
      </c>
      <c r="F18" s="204">
        <f>SUM(F2:F17)</f>
        <v>401900</v>
      </c>
      <c r="G18" s="204">
        <f>SUM(G2:G17)</f>
        <v>576100</v>
      </c>
      <c r="H18" s="205">
        <f>SUM(H2:H17)</f>
        <v>44100</v>
      </c>
      <c r="I18" s="203" t="s">
        <v>33</v>
      </c>
      <c r="J18" s="204">
        <f>SUM(J2:J17)</f>
        <v>0</v>
      </c>
      <c r="K18" s="204">
        <f t="shared" ref="K18" si="6">SUM(K2:K17)</f>
        <v>0</v>
      </c>
      <c r="L18" s="194">
        <f t="shared" si="2"/>
        <v>0</v>
      </c>
      <c r="M18" s="205">
        <f>SUM(M2:M17)</f>
        <v>-480000</v>
      </c>
    </row>
    <row r="19" spans="1:22" x14ac:dyDescent="0.25">
      <c r="A19" s="200">
        <v>1000</v>
      </c>
      <c r="B19" s="200">
        <v>12</v>
      </c>
      <c r="C19" s="200">
        <f t="shared" si="5"/>
        <v>12000</v>
      </c>
      <c r="I19" s="206"/>
      <c r="J19" s="207"/>
      <c r="V19">
        <v>0</v>
      </c>
    </row>
    <row r="20" spans="1:9" x14ac:dyDescent="0.25">
      <c r="A20" s="200">
        <v>5000</v>
      </c>
      <c r="B20" s="200">
        <v>3</v>
      </c>
      <c r="C20" s="200">
        <f t="shared" si="5"/>
        <v>15000</v>
      </c>
      <c r="I20" s="206"/>
    </row>
    <row r="21" spans="1:9" x14ac:dyDescent="0.25">
      <c r="A21" s="200">
        <v>10000</v>
      </c>
      <c r="B21" s="200">
        <v>0</v>
      </c>
      <c r="C21" s="200">
        <f t="shared" si="5"/>
        <v>0</v>
      </c>
      <c r="G21" s="186" t="s">
        <v>62</v>
      </c>
      <c r="I21" s="206"/>
    </row>
    <row r="22" spans="1:9" x14ac:dyDescent="0.25">
      <c r="A22" s="202"/>
      <c r="B22" s="202"/>
      <c r="C22" s="200">
        <f>SUM(C15:C21)</f>
        <v>30000</v>
      </c>
      <c r="I22" s="206"/>
    </row>
    <row r="23" spans="9:9" x14ac:dyDescent="0.25">
      <c r="I23" s="206"/>
    </row>
    <row r="24" spans="9:9" x14ac:dyDescent="0.25">
      <c r="I24" s="206"/>
    </row>
    <row r="25" spans="9:9" x14ac:dyDescent="0.25">
      <c r="I25" s="206"/>
    </row>
    <row r="26" spans="9:9" x14ac:dyDescent="0.25">
      <c r="I26" s="206"/>
    </row>
    <row r="27" spans="7:9" x14ac:dyDescent="0.25">
      <c r="G27" s="186" t="s">
        <v>62</v>
      </c>
      <c r="I27" s="206"/>
    </row>
    <row r="28" spans="9:9" x14ac:dyDescent="0.25">
      <c r="I28" s="206"/>
    </row>
    <row r="29" spans="9:11" x14ac:dyDescent="0.25">
      <c r="I29" s="206"/>
      <c r="K29" t="s">
        <v>62</v>
      </c>
    </row>
    <row r="30" spans="9:9" x14ac:dyDescent="0.25">
      <c r="I30" s="206"/>
    </row>
    <row r="31" spans="9:9" x14ac:dyDescent="0.25">
      <c r="I31" s="206"/>
    </row>
    <row r="33" spans="10:12" x14ac:dyDescent="0.25">
      <c r="J33" t="s">
        <v>62</v>
      </c>
      <c r="L33" t="s">
        <v>84</v>
      </c>
    </row>
  </sheetData>
  <mergeCells count="4">
    <mergeCell ref="A1:C2"/>
    <mergeCell ref="A11:B11"/>
    <mergeCell ref="A12:C13"/>
    <mergeCell ref="A22:B22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27"/>
  <sheetViews>
    <sheetView workbookViewId="0" zoomScale="100" zoomScaleNormal="100">
      <selection activeCell="B5" sqref="B5"/>
    </sheetView>
  </sheetViews>
  <sheetFormatPr defaultRowHeight="18.75" outlineLevelRow="0" outlineLevelCol="0" x14ac:dyDescent="0.4" customHeight="1"/>
  <cols>
    <col min="1" max="1" width="4.5" customWidth="1"/>
  </cols>
  <sheetData>
    <row r="1" ht="19.5" customHeight="1" x14ac:dyDescent="0.25"/>
    <row r="2" ht="19.5" customHeight="1" spans="2:19" x14ac:dyDescent="0.25">
      <c r="B2" s="208" t="s">
        <v>85</v>
      </c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10"/>
    </row>
    <row r="3" spans="2:19" x14ac:dyDescent="0.25">
      <c r="B3" s="211" t="s">
        <v>36</v>
      </c>
      <c r="C3" s="212"/>
      <c r="D3" s="213" t="s">
        <v>86</v>
      </c>
      <c r="E3" s="212"/>
      <c r="F3" s="214" t="s">
        <v>87</v>
      </c>
      <c r="G3" s="214"/>
      <c r="H3" s="214"/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5"/>
    </row>
    <row r="4" spans="2:19" x14ac:dyDescent="0.25">
      <c r="B4" s="216" t="s">
        <v>88</v>
      </c>
      <c r="C4" s="217"/>
      <c r="D4" s="151" t="s">
        <v>89</v>
      </c>
      <c r="E4" s="217"/>
      <c r="F4" s="218" t="s">
        <v>90</v>
      </c>
      <c r="G4" s="218"/>
      <c r="H4" s="218"/>
      <c r="I4" s="218"/>
      <c r="J4" s="218"/>
      <c r="K4" s="218"/>
      <c r="L4" s="218"/>
      <c r="M4" s="218"/>
      <c r="N4" s="218"/>
      <c r="O4" s="218"/>
      <c r="P4" s="218"/>
      <c r="Q4" s="218"/>
      <c r="R4" s="218"/>
      <c r="S4" s="219"/>
    </row>
    <row r="5" spans="2:19" x14ac:dyDescent="0.25">
      <c r="B5" s="220"/>
      <c r="C5" s="221"/>
      <c r="D5" s="222"/>
      <c r="E5" s="221"/>
      <c r="F5" s="223"/>
      <c r="G5" s="223"/>
      <c r="H5" s="223"/>
      <c r="I5" s="223"/>
      <c r="J5" s="223"/>
      <c r="K5" s="223"/>
      <c r="L5" s="223"/>
      <c r="M5" s="223"/>
      <c r="N5" s="223"/>
      <c r="O5" s="223"/>
      <c r="P5" s="223"/>
      <c r="Q5" s="223"/>
      <c r="R5" s="223"/>
      <c r="S5" s="224"/>
    </row>
    <row r="6" spans="2:19" x14ac:dyDescent="0.25">
      <c r="B6" s="220"/>
      <c r="C6" s="221"/>
      <c r="D6" s="222"/>
      <c r="E6" s="221"/>
      <c r="F6" s="223"/>
      <c r="G6" s="223"/>
      <c r="H6" s="223"/>
      <c r="I6" s="223"/>
      <c r="J6" s="223"/>
      <c r="K6" s="223"/>
      <c r="L6" s="223"/>
      <c r="M6" s="223"/>
      <c r="N6" s="223"/>
      <c r="O6" s="223"/>
      <c r="P6" s="223"/>
      <c r="Q6" s="223"/>
      <c r="R6" s="223"/>
      <c r="S6" s="224"/>
    </row>
    <row r="7" spans="2:19" x14ac:dyDescent="0.25">
      <c r="B7" s="220"/>
      <c r="C7" s="221"/>
      <c r="D7" s="222"/>
      <c r="E7" s="221"/>
      <c r="F7" s="223"/>
      <c r="G7" s="223"/>
      <c r="H7" s="223"/>
      <c r="I7" s="223"/>
      <c r="J7" s="223"/>
      <c r="K7" s="223"/>
      <c r="L7" s="223"/>
      <c r="M7" s="223"/>
      <c r="N7" s="223"/>
      <c r="O7" s="223"/>
      <c r="P7" s="223"/>
      <c r="Q7" s="223"/>
      <c r="R7" s="223"/>
      <c r="S7" s="224"/>
    </row>
    <row r="8" spans="2:19" x14ac:dyDescent="0.25">
      <c r="B8" s="220"/>
      <c r="C8" s="221"/>
      <c r="D8" s="222"/>
      <c r="E8" s="221"/>
      <c r="F8" s="223"/>
      <c r="G8" s="223"/>
      <c r="H8" s="223"/>
      <c r="I8" s="223"/>
      <c r="J8" s="223"/>
      <c r="K8" s="223"/>
      <c r="L8" s="223"/>
      <c r="M8" s="223"/>
      <c r="N8" s="223"/>
      <c r="O8" s="223"/>
      <c r="P8" s="223"/>
      <c r="Q8" s="223"/>
      <c r="R8" s="223"/>
      <c r="S8" s="224"/>
    </row>
    <row r="9" spans="2:19" x14ac:dyDescent="0.25">
      <c r="B9" s="220"/>
      <c r="C9" s="221"/>
      <c r="D9" s="222"/>
      <c r="E9" s="221"/>
      <c r="F9" s="223"/>
      <c r="G9" s="223"/>
      <c r="H9" s="223"/>
      <c r="I9" s="223"/>
      <c r="J9" s="223"/>
      <c r="K9" s="223"/>
      <c r="L9" s="223"/>
      <c r="M9" s="223"/>
      <c r="N9" s="223"/>
      <c r="O9" s="223"/>
      <c r="P9" s="223"/>
      <c r="Q9" s="223"/>
      <c r="R9" s="223"/>
      <c r="S9" s="224"/>
    </row>
    <row r="10" spans="2:19" x14ac:dyDescent="0.25">
      <c r="B10" s="220"/>
      <c r="C10" s="221"/>
      <c r="D10" s="222"/>
      <c r="E10" s="221"/>
      <c r="F10" s="223"/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3"/>
      <c r="R10" s="223"/>
      <c r="S10" s="224"/>
    </row>
    <row r="11" spans="2:19" x14ac:dyDescent="0.25">
      <c r="B11" s="220"/>
      <c r="C11" s="221"/>
      <c r="D11" s="222"/>
      <c r="E11" s="221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4"/>
    </row>
    <row r="12" spans="2:19" x14ac:dyDescent="0.25">
      <c r="B12" s="220"/>
      <c r="C12" s="221"/>
      <c r="D12" s="222"/>
      <c r="E12" s="221"/>
      <c r="F12" s="223"/>
      <c r="G12" s="223"/>
      <c r="H12" s="223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4"/>
    </row>
    <row r="13" spans="2:19" x14ac:dyDescent="0.25">
      <c r="B13" s="220"/>
      <c r="C13" s="221"/>
      <c r="D13" s="222"/>
      <c r="E13" s="221"/>
      <c r="F13" s="223"/>
      <c r="G13" s="223"/>
      <c r="H13" s="223"/>
      <c r="I13" s="223"/>
      <c r="J13" s="223"/>
      <c r="K13" s="223"/>
      <c r="L13" s="223"/>
      <c r="M13" s="223"/>
      <c r="N13" s="223"/>
      <c r="O13" s="223"/>
      <c r="P13" s="223"/>
      <c r="Q13" s="223"/>
      <c r="R13" s="223"/>
      <c r="S13" s="224"/>
    </row>
    <row r="14" spans="2:19" x14ac:dyDescent="0.25">
      <c r="B14" s="220"/>
      <c r="C14" s="221"/>
      <c r="D14" s="222"/>
      <c r="E14" s="221"/>
      <c r="F14" s="223"/>
      <c r="G14" s="223"/>
      <c r="H14" s="223"/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4"/>
    </row>
    <row r="15" spans="2:19" x14ac:dyDescent="0.25">
      <c r="B15" s="220"/>
      <c r="C15" s="221"/>
      <c r="D15" s="222"/>
      <c r="E15" s="221"/>
      <c r="F15" s="223"/>
      <c r="G15" s="223"/>
      <c r="H15" s="223"/>
      <c r="I15" s="223"/>
      <c r="J15" s="223"/>
      <c r="K15" s="223"/>
      <c r="L15" s="223"/>
      <c r="M15" s="223"/>
      <c r="N15" s="223"/>
      <c r="O15" s="223"/>
      <c r="P15" s="223"/>
      <c r="Q15" s="223"/>
      <c r="R15" s="223"/>
      <c r="S15" s="224"/>
    </row>
    <row r="16" spans="2:19" x14ac:dyDescent="0.25">
      <c r="B16" s="220"/>
      <c r="C16" s="221"/>
      <c r="D16" s="222"/>
      <c r="E16" s="221"/>
      <c r="F16" s="223"/>
      <c r="G16" s="223"/>
      <c r="H16" s="223"/>
      <c r="I16" s="223"/>
      <c r="J16" s="223"/>
      <c r="K16" s="223"/>
      <c r="L16" s="223"/>
      <c r="M16" s="223"/>
      <c r="N16" s="223"/>
      <c r="O16" s="223"/>
      <c r="P16" s="223"/>
      <c r="Q16" s="223"/>
      <c r="R16" s="223"/>
      <c r="S16" s="224"/>
    </row>
    <row r="17" spans="2:19" x14ac:dyDescent="0.25">
      <c r="B17" s="220"/>
      <c r="C17" s="221"/>
      <c r="D17" s="222"/>
      <c r="E17" s="221"/>
      <c r="F17" s="223"/>
      <c r="G17" s="223"/>
      <c r="H17" s="223"/>
      <c r="I17" s="223"/>
      <c r="J17" s="223"/>
      <c r="K17" s="223"/>
      <c r="L17" s="223"/>
      <c r="M17" s="223"/>
      <c r="N17" s="223"/>
      <c r="O17" s="223"/>
      <c r="P17" s="223"/>
      <c r="Q17" s="223"/>
      <c r="R17" s="223"/>
      <c r="S17" s="224"/>
    </row>
    <row r="18" spans="2:19" x14ac:dyDescent="0.25">
      <c r="B18" s="220"/>
      <c r="C18" s="221"/>
      <c r="D18" s="222"/>
      <c r="E18" s="221"/>
      <c r="F18" s="223"/>
      <c r="G18" s="223"/>
      <c r="H18" s="223"/>
      <c r="I18" s="223"/>
      <c r="J18" s="223"/>
      <c r="K18" s="223"/>
      <c r="L18" s="223"/>
      <c r="M18" s="223"/>
      <c r="N18" s="223"/>
      <c r="O18" s="223"/>
      <c r="P18" s="223"/>
      <c r="Q18" s="223"/>
      <c r="R18" s="223"/>
      <c r="S18" s="224"/>
    </row>
    <row r="19" spans="2:19" x14ac:dyDescent="0.25">
      <c r="B19" s="220"/>
      <c r="C19" s="221"/>
      <c r="D19" s="222"/>
      <c r="E19" s="221"/>
      <c r="F19" s="223"/>
      <c r="G19" s="223"/>
      <c r="H19" s="223"/>
      <c r="I19" s="223"/>
      <c r="J19" s="223"/>
      <c r="K19" s="223"/>
      <c r="L19" s="223"/>
      <c r="M19" s="223"/>
      <c r="N19" s="223"/>
      <c r="O19" s="223"/>
      <c r="P19" s="223"/>
      <c r="Q19" s="223"/>
      <c r="R19" s="223"/>
      <c r="S19" s="224"/>
    </row>
    <row r="20" spans="2:19" x14ac:dyDescent="0.25">
      <c r="B20" s="220"/>
      <c r="C20" s="221"/>
      <c r="D20" s="222"/>
      <c r="E20" s="221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3"/>
      <c r="Q20" s="223"/>
      <c r="R20" s="223"/>
      <c r="S20" s="224"/>
    </row>
    <row r="21" spans="2:19" x14ac:dyDescent="0.25">
      <c r="B21" s="220"/>
      <c r="C21" s="221"/>
      <c r="D21" s="222"/>
      <c r="E21" s="221"/>
      <c r="F21" s="223"/>
      <c r="G21" s="223"/>
      <c r="H21" s="223"/>
      <c r="I21" s="223"/>
      <c r="J21" s="223"/>
      <c r="K21" s="223"/>
      <c r="L21" s="223"/>
      <c r="M21" s="223"/>
      <c r="N21" s="223"/>
      <c r="O21" s="223"/>
      <c r="P21" s="223"/>
      <c r="Q21" s="223"/>
      <c r="R21" s="223"/>
      <c r="S21" s="224"/>
    </row>
    <row r="22" spans="2:19" x14ac:dyDescent="0.25">
      <c r="B22" s="220"/>
      <c r="C22" s="221"/>
      <c r="D22" s="222"/>
      <c r="E22" s="221"/>
      <c r="F22" s="223"/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4"/>
    </row>
    <row r="23" spans="2:19" x14ac:dyDescent="0.25">
      <c r="B23" s="220"/>
      <c r="C23" s="221"/>
      <c r="D23" s="222"/>
      <c r="E23" s="221"/>
      <c r="F23" s="223"/>
      <c r="G23" s="223"/>
      <c r="H23" s="223"/>
      <c r="I23" s="223"/>
      <c r="J23" s="223"/>
      <c r="K23" s="223"/>
      <c r="L23" s="223"/>
      <c r="M23" s="223"/>
      <c r="N23" s="223"/>
      <c r="O23" s="223"/>
      <c r="P23" s="223"/>
      <c r="Q23" s="223"/>
      <c r="R23" s="223"/>
      <c r="S23" s="224"/>
    </row>
    <row r="24" spans="2:19" x14ac:dyDescent="0.25">
      <c r="B24" s="220"/>
      <c r="C24" s="221"/>
      <c r="D24" s="222"/>
      <c r="E24" s="221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4"/>
    </row>
    <row r="25" spans="2:19" x14ac:dyDescent="0.25">
      <c r="B25" s="220"/>
      <c r="C25" s="221"/>
      <c r="D25" s="222"/>
      <c r="E25" s="221"/>
      <c r="F25" s="223"/>
      <c r="G25" s="223"/>
      <c r="H25" s="223"/>
      <c r="I25" s="223"/>
      <c r="J25" s="223"/>
      <c r="K25" s="223"/>
      <c r="L25" s="223"/>
      <c r="M25" s="223"/>
      <c r="N25" s="223"/>
      <c r="O25" s="223"/>
      <c r="P25" s="223"/>
      <c r="Q25" s="223"/>
      <c r="R25" s="223"/>
      <c r="S25" s="224"/>
    </row>
    <row r="26" spans="2:19" x14ac:dyDescent="0.25">
      <c r="B26" s="220"/>
      <c r="C26" s="221"/>
      <c r="D26" s="222"/>
      <c r="E26" s="221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4"/>
    </row>
    <row r="27" ht="19.5" customHeight="1" spans="2:19" x14ac:dyDescent="0.25">
      <c r="B27" s="225"/>
      <c r="C27" s="226"/>
      <c r="D27" s="227"/>
      <c r="E27" s="226"/>
      <c r="F27" s="228"/>
      <c r="G27" s="228"/>
      <c r="H27" s="228"/>
      <c r="I27" s="228"/>
      <c r="J27" s="228"/>
      <c r="K27" s="228"/>
      <c r="L27" s="228"/>
      <c r="M27" s="228"/>
      <c r="N27" s="228"/>
      <c r="O27" s="228"/>
      <c r="P27" s="228"/>
      <c r="Q27" s="228"/>
      <c r="R27" s="228"/>
      <c r="S27" s="229"/>
    </row>
  </sheetData>
  <mergeCells count="76">
    <mergeCell ref="B2:S2"/>
    <mergeCell ref="B3:C3"/>
    <mergeCell ref="D3:E3"/>
    <mergeCell ref="F3:S3"/>
    <mergeCell ref="B4:C4"/>
    <mergeCell ref="D4:E4"/>
    <mergeCell ref="F4:S4"/>
    <mergeCell ref="B5:C5"/>
    <mergeCell ref="D5:E5"/>
    <mergeCell ref="F5:S5"/>
    <mergeCell ref="B6:C6"/>
    <mergeCell ref="D6:E6"/>
    <mergeCell ref="F6:S6"/>
    <mergeCell ref="B7:C7"/>
    <mergeCell ref="D7:E7"/>
    <mergeCell ref="F7:S7"/>
    <mergeCell ref="B8:C8"/>
    <mergeCell ref="D8:E8"/>
    <mergeCell ref="F8:S8"/>
    <mergeCell ref="B9:C9"/>
    <mergeCell ref="D9:E9"/>
    <mergeCell ref="F9:S9"/>
    <mergeCell ref="B10:C10"/>
    <mergeCell ref="D10:E10"/>
    <mergeCell ref="F10:S10"/>
    <mergeCell ref="B11:C11"/>
    <mergeCell ref="D11:E11"/>
    <mergeCell ref="F11:S11"/>
    <mergeCell ref="B12:C12"/>
    <mergeCell ref="D12:E12"/>
    <mergeCell ref="F12:S12"/>
    <mergeCell ref="B13:C13"/>
    <mergeCell ref="D13:E13"/>
    <mergeCell ref="F13:S13"/>
    <mergeCell ref="B14:C14"/>
    <mergeCell ref="D14:E14"/>
    <mergeCell ref="F14:S14"/>
    <mergeCell ref="B15:C15"/>
    <mergeCell ref="D15:E15"/>
    <mergeCell ref="F15:S15"/>
    <mergeCell ref="B16:C16"/>
    <mergeCell ref="D16:E16"/>
    <mergeCell ref="F16:S16"/>
    <mergeCell ref="B17:C17"/>
    <mergeCell ref="D17:E17"/>
    <mergeCell ref="F17:S17"/>
    <mergeCell ref="B18:C18"/>
    <mergeCell ref="D18:E18"/>
    <mergeCell ref="F18:S18"/>
    <mergeCell ref="B19:C19"/>
    <mergeCell ref="D19:E19"/>
    <mergeCell ref="F19:S19"/>
    <mergeCell ref="B20:C20"/>
    <mergeCell ref="D20:E20"/>
    <mergeCell ref="F20:S20"/>
    <mergeCell ref="B21:C21"/>
    <mergeCell ref="D21:E21"/>
    <mergeCell ref="F21:S21"/>
    <mergeCell ref="B22:C22"/>
    <mergeCell ref="D22:E22"/>
    <mergeCell ref="F22:S22"/>
    <mergeCell ref="B23:C23"/>
    <mergeCell ref="D23:E23"/>
    <mergeCell ref="F23:S23"/>
    <mergeCell ref="B24:C24"/>
    <mergeCell ref="D24:E24"/>
    <mergeCell ref="F24:S24"/>
    <mergeCell ref="B25:C25"/>
    <mergeCell ref="D25:E25"/>
    <mergeCell ref="F25:S25"/>
    <mergeCell ref="B26:C26"/>
    <mergeCell ref="D26:E26"/>
    <mergeCell ref="F26:S26"/>
    <mergeCell ref="B27:C27"/>
    <mergeCell ref="D27:E27"/>
    <mergeCell ref="F27:S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workbookViewId="0" zoomScale="100" zoomScaleNormal="100">
      <selection activeCell="F28" sqref="F28"/>
    </sheetView>
  </sheetViews>
  <sheetFormatPr defaultRowHeight="18.75" outlineLevelRow="0" outlineLevelCol="0" x14ac:dyDescent="0.4" customHeight="1"/>
  <cols>
    <col min="1" max="1" width="10.75" customWidth="1"/>
    <col min="2" max="2" width="17.375" customWidth="1"/>
    <col min="3" max="3" width="25.5" customWidth="1"/>
    <col min="4" max="4" width="10.875" customWidth="1"/>
    <col min="5" max="5" width="12.875" customWidth="1"/>
    <col min="6" max="6" width="10.125" customWidth="1"/>
    <col min="9" max="9" width="14.375" customWidth="1"/>
    <col min="10" max="10" width="21" customWidth="1"/>
    <col min="11" max="11" width="27.125" customWidth="1"/>
  </cols>
  <sheetData>
    <row r="1" ht="19.5" customHeight="1" spans="1:13" x14ac:dyDescent="0.25">
      <c r="A1" s="230" t="s">
        <v>91</v>
      </c>
      <c r="B1" s="231" t="s">
        <v>86</v>
      </c>
      <c r="C1" s="231" t="s">
        <v>92</v>
      </c>
      <c r="D1" s="232" t="s">
        <v>93</v>
      </c>
      <c r="E1" s="232" t="s">
        <v>94</v>
      </c>
      <c r="I1" s="233" t="s">
        <v>36</v>
      </c>
      <c r="J1" s="233" t="s">
        <v>95</v>
      </c>
      <c r="K1" s="234" t="s">
        <v>96</v>
      </c>
      <c r="L1" s="235" t="s">
        <v>97</v>
      </c>
      <c r="M1" s="236"/>
    </row>
    <row r="2" spans="1:13" x14ac:dyDescent="0.25">
      <c r="A2" s="237"/>
      <c r="B2" s="238"/>
      <c r="C2" s="238"/>
      <c r="D2" s="239"/>
      <c r="E2" s="239"/>
      <c r="I2" s="240" t="s">
        <v>98</v>
      </c>
      <c r="J2" s="240" t="s">
        <v>99</v>
      </c>
      <c r="K2" s="241" t="s">
        <v>100</v>
      </c>
      <c r="L2" s="242" t="s">
        <v>17</v>
      </c>
      <c r="M2" s="243"/>
    </row>
    <row r="3" spans="1:13" x14ac:dyDescent="0.25">
      <c r="A3" s="220"/>
      <c r="B3" s="244"/>
      <c r="C3" s="245"/>
      <c r="D3" s="246"/>
      <c r="E3" s="246"/>
      <c r="I3" s="247"/>
      <c r="J3" s="247"/>
      <c r="K3" s="95"/>
      <c r="L3" s="150"/>
      <c r="M3" s="248"/>
    </row>
    <row r="4" spans="1:13" x14ac:dyDescent="0.25">
      <c r="A4" s="249"/>
      <c r="B4" s="245"/>
      <c r="C4" s="245"/>
      <c r="D4" s="250"/>
      <c r="E4" s="250"/>
      <c r="I4" s="247"/>
      <c r="J4" s="247"/>
      <c r="K4" s="95"/>
      <c r="L4" s="150"/>
      <c r="M4" s="248"/>
    </row>
    <row r="5" spans="1:13" x14ac:dyDescent="0.25">
      <c r="A5" s="249"/>
      <c r="B5" s="245"/>
      <c r="C5" s="245"/>
      <c r="D5" s="250"/>
      <c r="E5" s="250"/>
      <c r="I5" s="244"/>
      <c r="J5" s="247"/>
      <c r="K5" s="82"/>
      <c r="L5" s="251"/>
      <c r="M5" s="246"/>
    </row>
    <row r="6" spans="1:13" x14ac:dyDescent="0.25">
      <c r="A6" s="249"/>
      <c r="B6" s="245"/>
      <c r="C6" s="245"/>
      <c r="D6" s="250"/>
      <c r="E6" s="250"/>
      <c r="I6" s="244"/>
      <c r="J6" s="244"/>
      <c r="K6" s="244"/>
      <c r="L6" s="251"/>
      <c r="M6" s="246"/>
    </row>
    <row r="7" spans="1:13" x14ac:dyDescent="0.25">
      <c r="A7" s="249"/>
      <c r="B7" s="245"/>
      <c r="C7" s="245"/>
      <c r="D7" s="250"/>
      <c r="E7" s="250"/>
      <c r="I7" s="244"/>
      <c r="J7" s="244"/>
      <c r="K7" s="244"/>
      <c r="L7" s="251"/>
      <c r="M7" s="246"/>
    </row>
    <row r="8" spans="1:13" x14ac:dyDescent="0.25">
      <c r="A8" s="249"/>
      <c r="B8" s="245"/>
      <c r="C8" s="245"/>
      <c r="D8" s="250"/>
      <c r="E8" s="250"/>
      <c r="I8" s="244"/>
      <c r="J8" s="244"/>
      <c r="K8" s="244"/>
      <c r="L8" s="251"/>
      <c r="M8" s="246"/>
    </row>
    <row r="9" spans="1:13" x14ac:dyDescent="0.25">
      <c r="A9" s="249"/>
      <c r="B9" s="245"/>
      <c r="C9" s="245"/>
      <c r="D9" s="250"/>
      <c r="E9" s="250"/>
      <c r="I9" s="244"/>
      <c r="J9" s="244"/>
      <c r="K9" s="244"/>
      <c r="L9" s="251"/>
      <c r="M9" s="246"/>
    </row>
    <row r="10" spans="1:13" x14ac:dyDescent="0.25">
      <c r="A10" s="249"/>
      <c r="B10" s="245"/>
      <c r="C10" s="245"/>
      <c r="D10" s="250"/>
      <c r="E10" s="250"/>
      <c r="I10" s="244"/>
      <c r="J10" s="244"/>
      <c r="K10" s="244"/>
      <c r="L10" s="251"/>
      <c r="M10" s="246"/>
    </row>
    <row r="11" spans="1:13" x14ac:dyDescent="0.25">
      <c r="A11" s="249"/>
      <c r="B11" s="245"/>
      <c r="C11" s="245"/>
      <c r="D11" s="250"/>
      <c r="E11" s="250"/>
      <c r="I11" s="244"/>
      <c r="J11" s="244"/>
      <c r="K11" s="244"/>
      <c r="L11" s="251"/>
      <c r="M11" s="246"/>
    </row>
    <row r="12" spans="1:13" x14ac:dyDescent="0.25">
      <c r="A12" s="249"/>
      <c r="B12" s="245"/>
      <c r="C12" s="245"/>
      <c r="D12" s="250"/>
      <c r="E12" s="250"/>
      <c r="I12" s="244"/>
      <c r="J12" s="244"/>
      <c r="K12" s="244"/>
      <c r="L12" s="251"/>
      <c r="M12" s="246"/>
    </row>
    <row r="13" spans="1:13" x14ac:dyDescent="0.25">
      <c r="A13" s="249"/>
      <c r="B13" s="245"/>
      <c r="C13" s="245"/>
      <c r="D13" s="250"/>
      <c r="E13" s="250"/>
      <c r="I13" s="244"/>
      <c r="J13" s="244"/>
      <c r="K13" s="244"/>
      <c r="L13" s="251"/>
      <c r="M13" s="246"/>
    </row>
    <row r="14" spans="1:13" x14ac:dyDescent="0.25">
      <c r="A14" s="249"/>
      <c r="B14" s="245"/>
      <c r="C14" s="245"/>
      <c r="D14" s="250"/>
      <c r="E14" s="250"/>
      <c r="I14" s="244"/>
      <c r="J14" s="244"/>
      <c r="K14" s="244"/>
      <c r="L14" s="251"/>
      <c r="M14" s="246"/>
    </row>
    <row r="15" spans="1:13" x14ac:dyDescent="0.25">
      <c r="A15" s="249"/>
      <c r="B15" s="245"/>
      <c r="C15" s="245"/>
      <c r="D15" s="250"/>
      <c r="E15" s="250"/>
      <c r="I15" s="244"/>
      <c r="J15" s="244"/>
      <c r="K15" s="244"/>
      <c r="L15" s="251"/>
      <c r="M15" s="246"/>
    </row>
    <row r="16" spans="1:13" x14ac:dyDescent="0.25">
      <c r="A16" s="249"/>
      <c r="B16" s="245"/>
      <c r="C16" s="245"/>
      <c r="D16" s="250"/>
      <c r="E16" s="250"/>
      <c r="I16" s="244"/>
      <c r="J16" s="244"/>
      <c r="K16" s="244"/>
      <c r="L16" s="251"/>
      <c r="M16" s="246"/>
    </row>
    <row r="17" spans="1:13" x14ac:dyDescent="0.25">
      <c r="A17" s="249"/>
      <c r="B17" s="245"/>
      <c r="C17" s="245"/>
      <c r="D17" s="250"/>
      <c r="E17" s="250"/>
      <c r="I17" s="244"/>
      <c r="J17" s="244"/>
      <c r="K17" s="244"/>
      <c r="L17" s="251"/>
      <c r="M17" s="246"/>
    </row>
    <row r="18" spans="1:13" x14ac:dyDescent="0.25">
      <c r="A18" s="249"/>
      <c r="B18" s="245"/>
      <c r="C18" s="245"/>
      <c r="D18" s="250"/>
      <c r="E18" s="250"/>
      <c r="I18" s="244"/>
      <c r="J18" s="244"/>
      <c r="K18" s="244"/>
      <c r="L18" s="251"/>
      <c r="M18" s="246"/>
    </row>
    <row r="19" spans="1:13" x14ac:dyDescent="0.25">
      <c r="A19" s="249"/>
      <c r="B19" s="245"/>
      <c r="C19" s="245"/>
      <c r="D19" s="250"/>
      <c r="E19" s="250"/>
      <c r="I19" s="244"/>
      <c r="J19" s="244"/>
      <c r="K19" s="244"/>
      <c r="L19" s="251"/>
      <c r="M19" s="246"/>
    </row>
    <row r="20" spans="1:13" x14ac:dyDescent="0.25">
      <c r="A20" s="249"/>
      <c r="B20" s="245"/>
      <c r="C20" s="245"/>
      <c r="D20" s="250"/>
      <c r="E20" s="250"/>
      <c r="I20" s="244"/>
      <c r="J20" s="244"/>
      <c r="K20" s="244"/>
      <c r="L20" s="251"/>
      <c r="M20" s="246"/>
    </row>
    <row r="21" spans="1:13" x14ac:dyDescent="0.25">
      <c r="A21" s="249"/>
      <c r="B21" s="245"/>
      <c r="C21" s="245"/>
      <c r="D21" s="250"/>
      <c r="E21" s="250"/>
      <c r="I21" s="244"/>
      <c r="J21" s="244"/>
      <c r="K21" s="244"/>
      <c r="L21" s="251"/>
      <c r="M21" s="246"/>
    </row>
    <row r="22" spans="1:13" x14ac:dyDescent="0.25">
      <c r="A22" s="249"/>
      <c r="B22" s="245"/>
      <c r="C22" s="245"/>
      <c r="D22" s="250"/>
      <c r="E22" s="250"/>
      <c r="I22" s="244"/>
      <c r="J22" s="244"/>
      <c r="K22" s="244"/>
      <c r="L22" s="251"/>
      <c r="M22" s="246"/>
    </row>
    <row r="23" spans="1:13" x14ac:dyDescent="0.25">
      <c r="A23" s="249"/>
      <c r="B23" s="245"/>
      <c r="C23" s="245"/>
      <c r="D23" s="250"/>
      <c r="E23" s="250"/>
      <c r="I23" s="244"/>
      <c r="J23" s="244"/>
      <c r="K23" s="244"/>
      <c r="L23" s="251"/>
      <c r="M23" s="246"/>
    </row>
    <row r="24" spans="1:13" x14ac:dyDescent="0.25">
      <c r="A24" s="249"/>
      <c r="B24" s="245"/>
      <c r="C24" s="245"/>
      <c r="D24" s="250"/>
      <c r="E24" s="250"/>
      <c r="I24" s="244"/>
      <c r="J24" s="244"/>
      <c r="K24" s="244"/>
      <c r="L24" s="251"/>
      <c r="M24" s="246"/>
    </row>
    <row r="25" spans="1:13" x14ac:dyDescent="0.25">
      <c r="A25" s="249"/>
      <c r="B25" s="245"/>
      <c r="C25" s="245"/>
      <c r="D25" s="250"/>
      <c r="E25" s="250"/>
      <c r="I25" s="244"/>
      <c r="J25" s="244"/>
      <c r="K25" s="244"/>
      <c r="L25" s="251"/>
      <c r="M25" s="246"/>
    </row>
    <row r="26" spans="1:13" x14ac:dyDescent="0.25">
      <c r="A26" s="249"/>
      <c r="B26" s="245"/>
      <c r="C26" s="245"/>
      <c r="D26" s="250"/>
      <c r="E26" s="250"/>
      <c r="I26" s="244"/>
      <c r="J26" s="244"/>
      <c r="K26" s="244"/>
      <c r="L26" s="251"/>
      <c r="M26" s="246"/>
    </row>
    <row r="27" spans="1:13" x14ac:dyDescent="0.25">
      <c r="A27" s="249"/>
      <c r="B27" s="245"/>
      <c r="C27" s="245"/>
      <c r="D27" s="250"/>
      <c r="E27" s="250"/>
      <c r="I27" s="244"/>
      <c r="J27" s="244"/>
      <c r="K27" s="244"/>
      <c r="L27" s="251"/>
      <c r="M27" s="246"/>
    </row>
    <row r="28" spans="1:13" x14ac:dyDescent="0.25">
      <c r="A28" s="249"/>
      <c r="B28" s="245"/>
      <c r="C28" s="245"/>
      <c r="D28" s="250"/>
      <c r="E28" s="250"/>
      <c r="I28" s="244"/>
      <c r="J28" s="244"/>
      <c r="K28" s="244"/>
      <c r="L28" s="251"/>
      <c r="M28" s="246"/>
    </row>
    <row r="29" spans="1:13" x14ac:dyDescent="0.25">
      <c r="A29" s="249"/>
      <c r="B29" s="252"/>
      <c r="C29" s="245"/>
      <c r="D29" s="250"/>
      <c r="E29" s="250"/>
      <c r="I29" s="244"/>
      <c r="J29" s="244"/>
      <c r="K29" s="244"/>
      <c r="L29" s="251"/>
      <c r="M29" s="246"/>
    </row>
    <row r="30" ht="19.5" customHeight="1" spans="1:13" x14ac:dyDescent="0.25">
      <c r="A30" s="253"/>
      <c r="B30" s="253"/>
      <c r="C30" s="253"/>
      <c r="D30" s="254"/>
      <c r="E30" s="254"/>
      <c r="I30" s="255"/>
      <c r="J30" s="255"/>
      <c r="K30" s="255"/>
      <c r="L30" s="256"/>
      <c r="M30" s="257"/>
    </row>
  </sheetData>
  <mergeCells count="30">
    <mergeCell ref="L1:M1"/>
    <mergeCell ref="L2:M2"/>
    <mergeCell ref="L3:M3"/>
    <mergeCell ref="L4:M4"/>
    <mergeCell ref="L5:M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総合売上</vt:lpstr>
      <vt:lpstr>現金売上</vt:lpstr>
      <vt:lpstr>カード売上</vt:lpstr>
      <vt:lpstr>振込売上</vt:lpstr>
      <vt:lpstr>レジ金</vt:lpstr>
      <vt:lpstr>社販リスト</vt:lpstr>
      <vt:lpstr>取り置き・発送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ORCHID 株式会社</cp:lastModifiedBy>
  <cp:lastPrinted>2022-05-27T09:02:21Z</cp:lastPrinted>
  <dcterms:created xsi:type="dcterms:W3CDTF">2019-02-02T11:52:29Z</dcterms:created>
  <dcterms:modified xsi:type="dcterms:W3CDTF">2025-09-16T09:08:50Z</dcterms:modified>
</cp:coreProperties>
</file>